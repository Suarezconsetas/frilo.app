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URLs" sheetId="2" state="visible" r:id="rId4"/>
    <sheet name="Datos estructurados" sheetId="3" state="visible" r:id="rId5"/>
    <sheet name="Forecast base" sheetId="4" state="visible" r:id="rId6"/>
    <sheet name="Seguimiento" sheetId="5" state="visible" r:id="rId7"/>
    <sheet name="App y ambientes" sheetId="6" state="visible" r:id="rId8"/>
    <sheet name="Supuestos" sheetId="7" state="visible" r:id="rId9"/>
    <sheet name="Keywords" sheetId="8" state="visible" r:id="rId10"/>
  </sheets>
  <definedNames>
    <definedName function="false" hidden="true" localSheetId="7" name="_xlnm._FilterDatabase" vbProcedure="false">Keywords!$A$1:$G$107</definedName>
    <definedName function="false" hidden="true" localSheetId="1" name="_xlnm._FilterDatabase" vbProcedure="false">URLs!$A$1:$AA$24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<sst xmlns="http://schemas.openxmlformats.org/spreadsheetml/2006/main" count="1304" uniqueCount="620">
  <si>
    <t xml:space="preserve">Frilo · URLs finales del sitio, metadatos, datos estructurados y keyword objetivo</t>
  </si>
  <si>
    <t xml:space="preserve">Versión del 20 de octubre de 2026. Fuente: wireframes aprobados (lienzo "Frilo — Sitio web"), Especificacion_SEO_sitio_Frilo_v2.md y Keyword research Frilo (v3), exports de Semrush del 16 y 19 de octubre de 2026, base Colombia.</t>
  </si>
  <si>
    <t xml:space="preserve">Decisión de URL para la app web</t>
  </si>
  <si>
    <t xml:space="preserve">Recomendación: el sitio de contenido ocupa https://frilo.dev y la app pasa a https://app.frilo.dev, con noindex, nofollow y fuera del sitemap. Detalle, alternativa y pasos de migración en la hoja "App y ambientes".</t>
  </si>
  <si>
    <t xml:space="preserve">Hojas</t>
  </si>
  <si>
    <t xml:space="preserve">URLs: inventario de todas las direcciones con estado, indexación, keyword objetivo, title, meta description, H1, tipo de schema y notas. Las longitudes de title y meta se calculan con fórmula y se marcan en rojo si salen del rango.</t>
  </si>
  <si>
    <t xml:space="preserve">Datos estructurados: el JSON-LD completo de cada URL (un solo @graph por página) con las preguntas frecuentes visibles en los wireframes. Copiar tal cual en el código.</t>
  </si>
  <si>
    <t xml:space="preserve">Keywords: las 106 keywords del research con su página, rol, volumen y KD. Alimenta los volúmenes de la hoja URLs y del forecast.</t>
  </si>
  <si>
    <t xml:space="preserve">Forecast base: clics mensuales estimados por URL en posición 10, 3 y 1, con las CTR de la hoja Supuestos. Es un techo: no descuenta AI Overviews, anuncios ni el conversor de Google.</t>
  </si>
  <si>
    <t xml:space="preserve">Seguimiento: hoja para llenar con datos de Search Console, Ranki y PageSpeed (indexación, posición, clics, Core Web Vitals).</t>
  </si>
  <si>
    <t xml:space="preserve">App y ambientes: dónde vive la app, ambiente de prueba, publicación manual, redirecciones y archivos técnicos.</t>
  </si>
  <si>
    <t xml:space="preserve">Cómo se eligió la keyword objetivo</t>
  </si>
  <si>
    <t xml:space="preserve">1. Se parte del H1 aprobado de cada URL. 2. Se toma la keyword del research que mejor coincide con ese H1 y con la URL. 3. Si hay una keyword con más volumen que competiría con otra página, se deja como secundaria (caso P02: "calculadora ibc independientes" es de P01). 4. Las marcas de terceros nunca son objetivo. 5. Si la keyword del research no coincide con el H1, se prioriza el H1 y se avisa (caso P12).</t>
  </si>
  <si>
    <t xml:space="preserve">Leyenda</t>
  </si>
  <si>
    <t xml:space="preserve">Texto azul sobre fondo amarillo: celdas para llenar (hojas Seguimiento y Supuestos). Texto negro: datos o fórmulas. "s/d": Semrush no reportó el dato (no equivale a 0).</t>
  </si>
  <si>
    <t xml:space="preserve">Pendientes que afectan este archivo</t>
  </si>
  <si>
    <t xml:space="preserve">Medir en Ranki las keywords sin volumen: frilo, calculadoras para independientes, guías para independientes, cesantías para independientes, dónde guardar las cesantías, qué hacer con las cesantías, glosario seguridad social, recibir dólares en colombia. Diseñar /glosario, /quienes-somos, /metodologia y /transparencia. Confirmar las rutas actuales de Términos y Política de datos en la app.</t>
  </si>
  <si>
    <t xml:space="preserve">ID</t>
  </si>
  <si>
    <t xml:space="preserve">Página</t>
  </si>
  <si>
    <t xml:space="preserve">URL final</t>
  </si>
  <si>
    <t xml:space="preserve">Ruta</t>
  </si>
  <si>
    <t xml:space="preserve">Tipo</t>
  </si>
  <si>
    <t xml:space="preserve">Wireframe</t>
  </si>
  <si>
    <t xml:space="preserve">Estado</t>
  </si>
  <si>
    <t xml:space="preserve">Meta robots</t>
  </si>
  <si>
    <t xml:space="preserve">En sitemap</t>
  </si>
  <si>
    <t xml:space="preserve">Canonical</t>
  </si>
  <si>
    <t xml:space="preserve">Prioridad</t>
  </si>
  <si>
    <t xml:space="preserve">Keyword objetivo</t>
  </si>
  <si>
    <t xml:space="preserve">Coincidencia con el H1</t>
  </si>
  <si>
    <t xml:space="preserve">Volumen keyword objetivo</t>
  </si>
  <si>
    <t xml:space="preserve">KD</t>
  </si>
  <si>
    <t xml:space="preserve">Volumen del grupo (principal + secundarias + soporte)</t>
  </si>
  <si>
    <t xml:space="preserve">Keywords secundarias</t>
  </si>
  <si>
    <t xml:space="preserve">Title</t>
  </si>
  <si>
    <t xml:space="preserve">Long. title</t>
  </si>
  <si>
    <t xml:space="preserve">Meta description</t>
  </si>
  <si>
    <t xml:space="preserve">Long. meta</t>
  </si>
  <si>
    <t xml:space="preserve">H1</t>
  </si>
  <si>
    <t xml:space="preserve">og:type</t>
  </si>
  <si>
    <t xml:space="preserve">Datos estructurados</t>
  </si>
  <si>
    <t xml:space="preserve">Breadcrumb</t>
  </si>
  <si>
    <t xml:space="preserve">Frecuencia de actualización</t>
  </si>
  <si>
    <t xml:space="preserve">Notas</t>
  </si>
  <si>
    <t xml:space="preserve">Home</t>
  </si>
  <si>
    <t xml:space="preserve">Inicio</t>
  </si>
  <si>
    <t xml:space="preserve">https://frilo.dev/</t>
  </si>
  <si>
    <t xml:space="preserve">/</t>
  </si>
  <si>
    <t xml:space="preserve">Main.dc.html</t>
  </si>
  <si>
    <t xml:space="preserve">Wireframe aprobado</t>
  </si>
  <si>
    <t xml:space="preserve">index, follow</t>
  </si>
  <si>
    <t xml:space="preserve">Sí</t>
  </si>
  <si>
    <t xml:space="preserve">1 - Alta</t>
  </si>
  <si>
    <t xml:space="preserve">frilo</t>
  </si>
  <si>
    <t xml:space="preserve">Exacta (H1 = "Frilo")</t>
  </si>
  <si>
    <t xml:space="preserve">calculadoras para independientes (H2, sin datos); app para independientes (sin datos)</t>
  </si>
  <si>
    <t xml:space="preserve">Frilo: calculadoras de aportes y cesantías para independientes</t>
  </si>
  <si>
    <t xml:space="preserve">Calcula tu planilla de independiente, aparta tu prima y tus cesantías y sigue el dólar. Gratis, en pesos o en dólares, sin registro.</t>
  </si>
  <si>
    <t xml:space="preserve">Frilo</t>
  </si>
  <si>
    <t xml:space="preserve">website</t>
  </si>
  <si>
    <t xml:space="preserve">Organization + WebSite + Person + WebPage + FAQPage</t>
  </si>
  <si>
    <t xml:space="preserve">—</t>
  </si>
  <si>
    <t xml:space="preserve">Mensual</t>
  </si>
  <si>
    <t xml:space="preserve">Compite por marca. El title empieza con la marca, por eso no lleva sufijo. La demanda no de marca llega por los enlaces a P01, P03 y P10. Medir "frilo" y "app para independientes" en Ranki.</t>
  </si>
  <si>
    <t xml:space="preserve">Hub-C</t>
  </si>
  <si>
    <t xml:space="preserve">Hub de calculadoras</t>
  </si>
  <si>
    <t xml:space="preserve">https://frilo.dev/calculadoras</t>
  </si>
  <si>
    <t xml:space="preserve">/calculadoras</t>
  </si>
  <si>
    <t xml:space="preserve">Hub</t>
  </si>
  <si>
    <t xml:space="preserve">CalculadorasHub.dc.html</t>
  </si>
  <si>
    <t xml:space="preserve">2 - Media</t>
  </si>
  <si>
    <t xml:space="preserve">calculadoras para independientes</t>
  </si>
  <si>
    <t xml:space="preserve">Exacta</t>
  </si>
  <si>
    <t xml:space="preserve">calculadoras para contratistas (sin datos)</t>
  </si>
  <si>
    <t xml:space="preserve">Calculadoras para independientes y contratistas | Frilo</t>
  </si>
  <si>
    <t xml:space="preserve">Calculadoras gratis para independientes en Colombia: aportes, fecha de pago de la planilla, cesantías e intereses y dólar hoy. Sin registro.</t>
  </si>
  <si>
    <t xml:space="preserve">Calculadoras para independientes y contratistas en Colombia</t>
  </si>
  <si>
    <t xml:space="preserve">CollectionPage + ItemList + BreadcrumbList</t>
  </si>
  <si>
    <t xml:space="preserve">Inicio › Calculadoras</t>
  </si>
  <si>
    <t xml:space="preserve">Cuando se agregue una calculadora</t>
  </si>
  <si>
    <t xml:space="preserve">Keyword sin volumen medido: incluirla en Ranki. Su rol principal es repartir autoridad a P01, P03, P05 y P10.</t>
  </si>
  <si>
    <t xml:space="preserve">P01</t>
  </si>
  <si>
    <t xml:space="preserve">Calculadora de aportes</t>
  </si>
  <si>
    <t xml:space="preserve">https://frilo.dev/calculadoras/aportes-independientes</t>
  </si>
  <si>
    <t xml:space="preserve">/calculadoras/aportes-independientes</t>
  </si>
  <si>
    <t xml:space="preserve">Herramienta</t>
  </si>
  <si>
    <t xml:space="preserve">Calculadora.dc.html</t>
  </si>
  <si>
    <t xml:space="preserve">calculadora de aportes</t>
  </si>
  <si>
    <t xml:space="preserve">calculadora de aportes para independientes y contratistas; calculadora de aportes 2026; calculadora de liquidacion aportes en linea</t>
  </si>
  <si>
    <t xml:space="preserve">Calculadora de aportes para independientes 2026 | Frilo</t>
  </si>
  <si>
    <t xml:space="preserve">Calcula cuánto pagas de salud, pensión, ARL y Fondo de Solidaridad como independiente o contratista en 2026. Gratis y sin registro.</t>
  </si>
  <si>
    <t xml:space="preserve">Calculadora de aportes para independientes 2026</t>
  </si>
  <si>
    <t xml:space="preserve">WebPage + WebApplication + FAQPage + BreadcrumbList</t>
  </si>
  <si>
    <t xml:space="preserve">Inicio › Calculadoras › Aportes para independientes</t>
  </si>
  <si>
    <t xml:space="preserve">Anual (1.ª quincena de diciembre) y cuando cambie una norma</t>
  </si>
  <si>
    <t xml:space="preserve">Pico de enero (4.400 búsquedas vs. 1.600 en meses bajos). Actualizar año y cifras antes del 15 de diciembre.</t>
  </si>
  <si>
    <t xml:space="preserve">P02</t>
  </si>
  <si>
    <t xml:space="preserve">Guía del IBC</t>
  </si>
  <si>
    <t xml:space="preserve">https://frilo.dev/guias/ibc-independientes</t>
  </si>
  <si>
    <t xml:space="preserve">/guias/ibc-independientes</t>
  </si>
  <si>
    <t xml:space="preserve">Guía</t>
  </si>
  <si>
    <t xml:space="preserve">GuiaIBC.dc.html</t>
  </si>
  <si>
    <t xml:space="preserve">ibc para independientes</t>
  </si>
  <si>
    <t xml:space="preserve">calculadora ibc independientes (110, H2); como calcular el ibc para independientes 2026; como cambiar el ibc en soi para independientes</t>
  </si>
  <si>
    <t xml:space="preserve">IBC para independientes 2026: qué es y cómo calcularlo | Frilo</t>
  </si>
  <si>
    <t xml:space="preserve">Qué es el IBC de un independiente, cómo calcularlo en 2026 con el 40% de tus ingresos y cómo cambiarlo en SOI. Con calculadora gratis.</t>
  </si>
  <si>
    <t xml:space="preserve">IBC para independientes 2026: qué es y cómo calcularlo</t>
  </si>
  <si>
    <t xml:space="preserve">article</t>
  </si>
  <si>
    <t xml:space="preserve">Article + FAQPage + BreadcrumbList</t>
  </si>
  <si>
    <t xml:space="preserve">Inicio › Guías › IBC para independientes</t>
  </si>
  <si>
    <t xml:space="preserve">Anual (diciembre)</t>
  </si>
  <si>
    <t xml:space="preserve">"calculadora ibc independientes" tiene más volumen (110) pero se queda como secundaria para no competir con P01, que ya calcula el IBC.</t>
  </si>
  <si>
    <t xml:space="preserve">P03</t>
  </si>
  <si>
    <t xml:space="preserve">Calculadora de cesantías</t>
  </si>
  <si>
    <t xml:space="preserve">https://frilo.dev/calculadoras/cesantias</t>
  </si>
  <si>
    <t xml:space="preserve">/calculadoras/cesantias</t>
  </si>
  <si>
    <t xml:space="preserve">Cesantias.dc.html</t>
  </si>
  <si>
    <t xml:space="preserve">calculadora de intereses de cesantías</t>
  </si>
  <si>
    <t xml:space="preserve">Parcial: el H1 dice "Calculadora de cesantías e intereses de cesantías"</t>
  </si>
  <si>
    <t xml:space="preserve">intereses de cesantías 2026 calculadora; calculadora de cesantías 2026; calculadora de cesantías e intereses</t>
  </si>
  <si>
    <t xml:space="preserve">Calculadora de cesantías e intereses de cesantías 2026 | Frilo</t>
  </si>
  <si>
    <t xml:space="preserve">Calcula tus cesantías y los intereses del 12% en 2026, con contrato laboral o como independiente. Incluye años anteriores. Sin registro.</t>
  </si>
  <si>
    <t xml:space="preserve">Calculadora de cesantías e intereses de cesantías 2026</t>
  </si>
  <si>
    <t xml:space="preserve">Inicio › Calculadoras › Cesantías e intereses</t>
  </si>
  <si>
    <t xml:space="preserve">El H1 cubre "calculadora de cesantías" e "intereses de cesantías" por separado. Se mantiene: Google trata ambas formas como la misma intención y el H1 suena natural. Usar la frase exacta en el primer párrafo.</t>
  </si>
  <si>
    <t xml:space="preserve">P04</t>
  </si>
  <si>
    <t xml:space="preserve">Descargar planilla</t>
  </si>
  <si>
    <t xml:space="preserve">https://frilo.dev/guias/descargar-planilla-seguridad-social</t>
  </si>
  <si>
    <t xml:space="preserve">/guias/descargar-planilla-seguridad-social</t>
  </si>
  <si>
    <t xml:space="preserve">GuiaDescargarPlanilla.dc.html</t>
  </si>
  <si>
    <t xml:space="preserve">descargar planilla de seguridad social</t>
  </si>
  <si>
    <t xml:space="preserve">Parcial: el H1 dice "Cómo descargar y verificar tu planilla de seguridad social"</t>
  </si>
  <si>
    <t xml:space="preserve">como descargar planilla de seguridad social (390); como verificar una planilla de seguridad social (210); planilla de seguridad social independiente (210)</t>
  </si>
  <si>
    <t xml:space="preserve">Descargar planilla de seguridad social: paso a paso | Frilo</t>
  </si>
  <si>
    <t xml:space="preserve">Descarga tu planilla de seguridad social, verifica que el pago quedó registrado y conoce qué cambia si eres independiente. Guía 2026.</t>
  </si>
  <si>
    <t xml:space="preserve">Cómo descargar y verificar tu planilla de seguridad social</t>
  </si>
  <si>
    <t xml:space="preserve">Inicio › Guías › Descargar la planilla</t>
  </si>
  <si>
    <t xml:space="preserve">Semestral (revisar enlaces de operadores)</t>
  </si>
  <si>
    <t xml:space="preserve">El title lleva la frase exacta y el H1 suma la variante "verificar" (210). Grupo informativo con mejor relación volumen/dificultad.</t>
  </si>
  <si>
    <t xml:space="preserve">P05</t>
  </si>
  <si>
    <t xml:space="preserve">Fecha de pago de la planilla</t>
  </si>
  <si>
    <t xml:space="preserve">https://frilo.dev/calculadoras/fecha-pago-planilla</t>
  </si>
  <si>
    <t xml:space="preserve">/calculadoras/fecha-pago-planilla</t>
  </si>
  <si>
    <t xml:space="preserve">FechaPago.dc.html</t>
  </si>
  <si>
    <t xml:space="preserve">fecha de pago planilla seguridad social</t>
  </si>
  <si>
    <t xml:space="preserve">Parcial: el H1 dice "Fechas de pago de la planilla de seguridad social 2026"</t>
  </si>
  <si>
    <t xml:space="preserve">Fechas de pago de la planilla de seguridad social 2026 | Frilo</t>
  </si>
  <si>
    <t xml:space="preserve">Consulta la fecha límite para pagar la planilla de seguridad social en 2026 según los últimos dígitos de tu documento. Calendario completo.</t>
  </si>
  <si>
    <t xml:space="preserve">Fechas de pago de la planilla de seguridad social 2026</t>
  </si>
  <si>
    <t xml:space="preserve">Inicio › Calculadoras › Fecha de pago de la planilla</t>
  </si>
  <si>
    <t xml:space="preserve">Anual (cargar festivos del año siguiente antes del 1-dic)</t>
  </si>
  <si>
    <t xml:space="preserve">Alimenta el recordatorio de pago (registro). URL sin año.</t>
  </si>
  <si>
    <t xml:space="preserve">P06</t>
  </si>
  <si>
    <t xml:space="preserve">Glosario: SLN</t>
  </si>
  <si>
    <t xml:space="preserve">https://frilo.dev/glosario/sln</t>
  </si>
  <si>
    <t xml:space="preserve">/glosario/sln</t>
  </si>
  <si>
    <t xml:space="preserve">Glosario</t>
  </si>
  <si>
    <t xml:space="preserve">GlosarioSLN.dc.html</t>
  </si>
  <si>
    <t xml:space="preserve">Wireframe aprobado (falta tabla de siglas)</t>
  </si>
  <si>
    <t xml:space="preserve">3 - Media-baja</t>
  </si>
  <si>
    <t xml:space="preserve">sln en planilla de seguridad social</t>
  </si>
  <si>
    <t xml:space="preserve">Casi exacta: "SLN en la planilla de seguridad social"</t>
  </si>
  <si>
    <t xml:space="preserve">Qué significa SLN en la planilla de seguridad social | Frilo</t>
  </si>
  <si>
    <t xml:space="preserve">Te explicamos qué significa la novedad SLN en la planilla de seguridad social, cuándo se reporta y cómo afecta tus aportes.</t>
  </si>
  <si>
    <t xml:space="preserve">Qué significa SLN en la planilla de seguridad social</t>
  </si>
  <si>
    <t xml:space="preserve">WebPage + DefinedTerm (en DefinedTermSet) + BreadcrumbList</t>
  </si>
  <si>
    <t xml:space="preserve">Inicio › Glosario › SLN</t>
  </si>
  <si>
    <t xml:space="preserve">Cuando cambie la resolución de la PILA</t>
  </si>
  <si>
    <t xml:space="preserve">Pendiente: lista completa de siglas de novedades PILA.</t>
  </si>
  <si>
    <t xml:space="preserve">P07</t>
  </si>
  <si>
    <t xml:space="preserve">Dólar hoy</t>
  </si>
  <si>
    <t xml:space="preserve">https://frilo.dev/dolar-hoy</t>
  </si>
  <si>
    <t xml:space="preserve">/dolar-hoy</t>
  </si>
  <si>
    <t xml:space="preserve">Utilidad con datos en vivo</t>
  </si>
  <si>
    <t xml:space="preserve">DolarHoy.dc.html</t>
  </si>
  <si>
    <t xml:space="preserve">dolar hoy colombia</t>
  </si>
  <si>
    <t xml:space="preserve">Exacta: "Dólar hoy en Colombia"</t>
  </si>
  <si>
    <t xml:space="preserve">precio dolar hoy colombia; precio del dolar colombiano hoy; valor del dolar hoy; valor del dolar hoy colombia</t>
  </si>
  <si>
    <t xml:space="preserve">Dólar hoy en Colombia: precio y TRM actualizada | Frilo</t>
  </si>
  <si>
    <t xml:space="preserve">Consulta el precio del dólar hoy en Colombia y la TRM oficial del día, con histórico, conversor de dólares a pesos y alertas por correo.</t>
  </si>
  <si>
    <t xml:space="preserve">Dólar hoy en Colombia: TRM del [fecha dinámica]</t>
  </si>
  <si>
    <t xml:space="preserve">WebPage + FAQPage + BreadcrumbList + Dataset (opcional)</t>
  </si>
  <si>
    <t xml:space="preserve">Inicio › Dólar hoy</t>
  </si>
  <si>
    <t xml:space="preserve">Diaria (revalidate 86400 s)</t>
  </si>
  <si>
    <t xml:space="preserve">KD 46 a 74 y conversor de Google en la SERP: tomar la estimación de clics como techo. Página única, sin URLs por fecha.</t>
  </si>
  <si>
    <t xml:space="preserve">P08</t>
  </si>
  <si>
    <t xml:space="preserve">Cuenta en dólares</t>
  </si>
  <si>
    <t xml:space="preserve">https://frilo.dev/guias/cuenta-en-dolares-colombia</t>
  </si>
  <si>
    <t xml:space="preserve">/guias/cuenta-en-dolares-colombia</t>
  </si>
  <si>
    <t xml:space="preserve">Guía comparativa</t>
  </si>
  <si>
    <t xml:space="preserve">GuiaCuentaDolares.dc.html</t>
  </si>
  <si>
    <t xml:space="preserve">cuenta en dolares en colombia</t>
  </si>
  <si>
    <t xml:space="preserve">Exacta: "Cuenta en dólares en Colombia"</t>
  </si>
  <si>
    <t xml:space="preserve">cuenta en dolares (390); cuenta de ahorros en dolares (90); como abrir una cuenta en dolares en colombia (70)</t>
  </si>
  <si>
    <t xml:space="preserve">Cuenta en dólares en Colombia: opciones y requisitos | Frilo</t>
  </si>
  <si>
    <t xml:space="preserve">Compara las opciones para tener una cuenta en dólares en Colombia: requisitos, costos y tiempos de apertura. Guía para freelancers en 2026.</t>
  </si>
  <si>
    <t xml:space="preserve">Cuenta en dólares en Colombia: opciones, requisitos y costos</t>
  </si>
  <si>
    <t xml:space="preserve">Inicio › Guías › Cuenta en dólares</t>
  </si>
  <si>
    <t xml:space="preserve">Trimestral (requisitos y costos de cada entidad)</t>
  </si>
  <si>
    <t xml:space="preserve">La keyword de más volumen es de marca ("cuenta en dolares bancolombia", 720): solo en la tabla, nunca en title, H1 ni URL.</t>
  </si>
  <si>
    <t xml:space="preserve">P09</t>
  </si>
  <si>
    <t xml:space="preserve">Recibir pagos en dólares</t>
  </si>
  <si>
    <t xml:space="preserve">https://frilo.dev/guias/recibir-pagos-en-dolares-colombia</t>
  </si>
  <si>
    <t xml:space="preserve">/guias/recibir-pagos-en-dolares-colombia</t>
  </si>
  <si>
    <t xml:space="preserve">GuiaRecibirDolares.dc.html</t>
  </si>
  <si>
    <t xml:space="preserve">como recibir pagos en dolares en colombia</t>
  </si>
  <si>
    <t xml:space="preserve">Parcial: el H1 dice "Cómo recibir pagos del exterior en dólares en Colombia"</t>
  </si>
  <si>
    <t xml:space="preserve">Cómo recibir pagos del exterior en dólares en Colombia | Frilo</t>
  </si>
  <si>
    <t xml:space="preserve">Recibe pagos del exterior en dólares en Colombia: opciones, costos, tiempos y qué debes declarar. Guía para freelancers e independientes.</t>
  </si>
  <si>
    <t xml:space="preserve">Cómo recibir pagos del exterior en dólares en Colombia</t>
  </si>
  <si>
    <t xml:space="preserve">Inicio › Guías › Recibir pagos en dólares</t>
  </si>
  <si>
    <t xml:space="preserve">Trimestral</t>
  </si>
  <si>
    <t xml:space="preserve">Volumen bajo (10) pero es el tema con más encaje con el perfil que cobra en dólares. Medir en Ranki "recibir pagos del exterior colombia" y "recibir dólares en colombia".</t>
  </si>
  <si>
    <t xml:space="preserve">P10</t>
  </si>
  <si>
    <t xml:space="preserve">Calculadora de interés compuesto</t>
  </si>
  <si>
    <t xml:space="preserve">https://frilo.dev/calculadoras/interes-compuesto</t>
  </si>
  <si>
    <t xml:space="preserve">/calculadoras/interes-compuesto</t>
  </si>
  <si>
    <t xml:space="preserve">InteresCompuesto.dc.html</t>
  </si>
  <si>
    <t xml:space="preserve">calculadora interés compuesto</t>
  </si>
  <si>
    <t xml:space="preserve">Casi exacta: "Calculadora de interés compuesto"</t>
  </si>
  <si>
    <t xml:space="preserve">simulador de ahorro (50, title); calculadora de ahorro (50)</t>
  </si>
  <si>
    <t xml:space="preserve">Calculadora de interés compuesto y simulador de ahorro | Frilo</t>
  </si>
  <si>
    <t xml:space="preserve">Simula cuánto crece tu ahorro con interés compuesto: monto inicial, aporte mensual, tasa efectiva anual y plazo. Gratis y sin registro.</t>
  </si>
  <si>
    <t xml:space="preserve">Calculadora de interés compuesto: simula cuánto rinde tu ahorro</t>
  </si>
  <si>
    <t xml:space="preserve">Inicio › Calculadoras › Interés compuesto</t>
  </si>
  <si>
    <t xml:space="preserve">Cuando cambien las tasas de referencia o la retención</t>
  </si>
  <si>
    <t xml:space="preserve">Mayor volumen del sitio sin contar dólar hoy (5.400). La SERP no tiene un competidor colombiano con contexto local.</t>
  </si>
  <si>
    <t xml:space="preserve">P11</t>
  </si>
  <si>
    <t xml:space="preserve">Cuentas de ahorro de alto rendimiento</t>
  </si>
  <si>
    <t xml:space="preserve">https://frilo.dev/guias/cuentas-de-ahorro-alto-rendimiento</t>
  </si>
  <si>
    <t xml:space="preserve">/guias/cuentas-de-ahorro-alto-rendimiento</t>
  </si>
  <si>
    <t xml:space="preserve">CuentasRentables.dc.html</t>
  </si>
  <si>
    <t xml:space="preserve">cuentas de ahorro de alto rendimiento</t>
  </si>
  <si>
    <t xml:space="preserve">cuenta de ahorros sin cuota de manejo (480); mejores cuentas de ahorro colombia (140); cuentas de ahorro con mayor rentabilidad (110)</t>
  </si>
  <si>
    <t xml:space="preserve">Cuentas de ahorro de alto rendimiento en Colombia 2026 | Frilo</t>
  </si>
  <si>
    <t xml:space="preserve">Compara las cuentas de ahorro con mayor rentabilidad en Colombia: tasa EA, cuota de manejo, 4x1000 y respaldo de Fogafín. Datos de 2026.</t>
  </si>
  <si>
    <t xml:space="preserve">Cuentas de ahorro de alto rendimiento en Colombia: cuáles pagan más en 2026</t>
  </si>
  <si>
    <t xml:space="preserve">Article + ItemList de DepositAccount + FAQPage + BreadcrumbList</t>
  </si>
  <si>
    <t xml:space="preserve">Inicio › Guías › Cuentas de ahorro de alto rendimiento</t>
  </si>
  <si>
    <t xml:space="preserve">Semanal (verificación de tasas de cada lunes)</t>
  </si>
  <si>
    <t xml:space="preserve">Las marcas (Lulo, Nu, RappiPay, Pibank, Ualá, Global66) solo van en la tabla. Sin Review ni AggregateRating.</t>
  </si>
  <si>
    <t xml:space="preserve">P12</t>
  </si>
  <si>
    <t xml:space="preserve">Cesantías para independientes</t>
  </si>
  <si>
    <t xml:space="preserve">https://frilo.dev/guias/cesantias-independientes</t>
  </si>
  <si>
    <t xml:space="preserve">/guias/cesantias-independientes</t>
  </si>
  <si>
    <t xml:space="preserve">Guia.dc.html</t>
  </si>
  <si>
    <t xml:space="preserve">cesantías para independientes</t>
  </si>
  <si>
    <t xml:space="preserve">dónde guardar las cesantías (H2, sin volumen); qué hacer con las cesantías (H2, sin volumen); cesantías independientes; los independientes tienen cesantías</t>
  </si>
  <si>
    <t xml:space="preserve">Cesantías para independientes: cómo crear las tuyas | Frilo</t>
  </si>
  <si>
    <t xml:space="preserve">Si trabajas por prestación de servicios no tienes cesantías. Aprende cuánto apartar cada mes, dónde guardarlas y cómo hacerlas rendir.</t>
  </si>
  <si>
    <t xml:space="preserve">Cesantías para independientes: cómo crear las tuyas si tu contrato no las trae</t>
  </si>
  <si>
    <t xml:space="preserve">Inicio › Guías › Cesantías para independientes</t>
  </si>
  <si>
    <t xml:space="preserve">Anual</t>
  </si>
  <si>
    <t xml:space="preserve">CAMBIO: el research asignaba "dónde guardar las cesantías", pero el H1 y la URL apuntan a "cesantías para independientes". Se toma esa como objetivo y las otras dos pasan a H2. Ninguna tiene volumen medido: medirlas en Ranki antes del forecast.</t>
  </si>
  <si>
    <t xml:space="preserve">Hub-G</t>
  </si>
  <si>
    <t xml:space="preserve">Hub de guías</t>
  </si>
  <si>
    <t xml:space="preserve">https://frilo.dev/guias</t>
  </si>
  <si>
    <t xml:space="preserve">/guias</t>
  </si>
  <si>
    <t xml:space="preserve">GuiasHub.dc.html</t>
  </si>
  <si>
    <t xml:space="preserve">guías para independientes</t>
  </si>
  <si>
    <t xml:space="preserve">guías para freelancers en colombia (sin datos)</t>
  </si>
  <si>
    <t xml:space="preserve">Guías para independientes y freelancers en Colombia | Frilo</t>
  </si>
  <si>
    <t xml:space="preserve">Guías claras sobre planilla, IBC, prima, cesantías y pagos en dólares para independientes y freelancers en Colombia, con fuentes oficiales.</t>
  </si>
  <si>
    <t xml:space="preserve">Guías para independientes y freelancers en Colombia</t>
  </si>
  <si>
    <t xml:space="preserve">Inicio › Guías</t>
  </si>
  <si>
    <t xml:space="preserve">Cuando se publique una guía</t>
  </si>
  <si>
    <t xml:space="preserve">Keyword sin volumen medido.</t>
  </si>
  <si>
    <t xml:space="preserve">Hub-Glo</t>
  </si>
  <si>
    <t xml:space="preserve">Hub del glosario</t>
  </si>
  <si>
    <t xml:space="preserve">https://frilo.dev/glosario</t>
  </si>
  <si>
    <t xml:space="preserve">/glosario</t>
  </si>
  <si>
    <t xml:space="preserve">— (falta wireframe)</t>
  </si>
  <si>
    <t xml:space="preserve">Por diseñar</t>
  </si>
  <si>
    <t xml:space="preserve">index, follow (cuando tenga 3 o más entradas; antes, noindex)</t>
  </si>
  <si>
    <t xml:space="preserve">Sí, cuando sea indexable</t>
  </si>
  <si>
    <t xml:space="preserve">glosario seguridad social</t>
  </si>
  <si>
    <t xml:space="preserve">qué es el ibc; qué es la pila; qué es la trm; fondo de solidaridad pensional</t>
  </si>
  <si>
    <t xml:space="preserve">Glosario de seguridad social para independientes | Frilo</t>
  </si>
  <si>
    <t xml:space="preserve">Qué significan las siglas de la planilla de seguridad social: SLN, IBC, PILA, ARL y FSP, explicadas para independientes en Colombia.</t>
  </si>
  <si>
    <t xml:space="preserve">Glosario de seguridad social para independientes</t>
  </si>
  <si>
    <t xml:space="preserve">CollectionPage + DefinedTermSet + BreadcrumbList</t>
  </si>
  <si>
    <t xml:space="preserve">Inicio › Glosario</t>
  </si>
  <si>
    <t xml:space="preserve">Cuando se agregue una entrada</t>
  </si>
  <si>
    <t xml:space="preserve">Lo pide el breadcrumb de P06 y el @id del DefinedTermSet. Propuesta: lanzar con SLN y entradas cortas de IBC, PILA, ARL y FSP que enlacen a sus guías.</t>
  </si>
  <si>
    <t xml:space="preserve">Inst-1</t>
  </si>
  <si>
    <t xml:space="preserve">Quiénes somos</t>
  </si>
  <si>
    <t xml:space="preserve">https://frilo.dev/quienes-somos</t>
  </si>
  <si>
    <t xml:space="preserve">/quienes-somos</t>
  </si>
  <si>
    <t xml:space="preserve">Institucional</t>
  </si>
  <si>
    <t xml:space="preserve">No aplica (marca)</t>
  </si>
  <si>
    <t xml:space="preserve">Quiénes somos: la app de finanzas para independientes | Frilo</t>
  </si>
  <si>
    <t xml:space="preserve">Frilo es una app gratuita para freelancers y contratistas en Colombia. Conoce quién la hace, cómo revisamos los datos y qué no hacemos.</t>
  </si>
  <si>
    <t xml:space="preserve">AboutPage + Person + BreadcrumbList</t>
  </si>
  <si>
    <t xml:space="preserve">Inicio › Quiénes somos</t>
  </si>
  <si>
    <t xml:space="preserve">Es la URL del Person (Nicolás Suárez) en el JSON-LD. Señal E-E-A-T para contenido financiero.</t>
  </si>
  <si>
    <t xml:space="preserve">Inst-2</t>
  </si>
  <si>
    <t xml:space="preserve">Metodología</t>
  </si>
  <si>
    <t xml:space="preserve">https://frilo.dev/metodologia</t>
  </si>
  <si>
    <t xml:space="preserve">/metodologia</t>
  </si>
  <si>
    <t xml:space="preserve">No aplica</t>
  </si>
  <si>
    <t xml:space="preserve">Metodología: cómo calculamos y revisamos los datos | Frilo</t>
  </si>
  <si>
    <t xml:space="preserve">Así calculamos los aportes, cesantías y tasas que muestra Frilo: fuentes oficiales, fechas de revisión y quién revisa cada página.</t>
  </si>
  <si>
    <t xml:space="preserve">Cómo calculamos y revisamos los datos de Frilo</t>
  </si>
  <si>
    <t xml:space="preserve">WebPage + BreadcrumbList</t>
  </si>
  <si>
    <t xml:space="preserve">Inicio › Metodología</t>
  </si>
  <si>
    <t xml:space="preserve">Cuando cambie el proceso</t>
  </si>
  <si>
    <t xml:space="preserve">Destino de los enlaces "Cómo calculamos" y "Cómo hacemos nuestras guías" de la línea de confianza.</t>
  </si>
  <si>
    <t xml:space="preserve">Inst-3</t>
  </si>
  <si>
    <t xml:space="preserve">Transparencia</t>
  </si>
  <si>
    <t xml:space="preserve">https://frilo.dev/transparencia</t>
  </si>
  <si>
    <t xml:space="preserve">/transparencia</t>
  </si>
  <si>
    <t xml:space="preserve">Transparencia: qué hace y qué no hace Frilo con tu dinero | Frilo</t>
  </si>
  <si>
    <t xml:space="preserve">Frilo es gratis, no recibe pagos de las entidades que compara y no vende tus datos. Te contamos cómo elegimos qué mostrar y cómo lo revisamos.</t>
  </si>
  <si>
    <t xml:space="preserve">Inicio › Transparencia</t>
  </si>
  <si>
    <t xml:space="preserve">Cuando cambie la monetización</t>
  </si>
  <si>
    <t xml:space="preserve">Cuando haya referidos: actualizar el aviso aquí y en las tablas (rel="sponsored").</t>
  </si>
  <si>
    <t xml:space="preserve">Legal-1</t>
  </si>
  <si>
    <t xml:space="preserve">Términos de uso</t>
  </si>
  <si>
    <t xml:space="preserve">https://frilo.dev/terminos</t>
  </si>
  <si>
    <t xml:space="preserve">/terminos</t>
  </si>
  <si>
    <t xml:space="preserve">Legal</t>
  </si>
  <si>
    <t xml:space="preserve">Existe en la app (Claude Code)</t>
  </si>
  <si>
    <t xml:space="preserve">Existe; migrar al sitio</t>
  </si>
  <si>
    <t xml:space="preserve">Baja</t>
  </si>
  <si>
    <t xml:space="preserve">Términos de uso | Frilo</t>
  </si>
  <si>
    <t xml:space="preserve">Condiciones de uso de Frilo, la app gratuita de finanzas para freelancers y contratistas en Colombia.</t>
  </si>
  <si>
    <t xml:space="preserve">WebPage</t>
  </si>
  <si>
    <t xml:space="preserve">Inicio › Términos de uso</t>
  </si>
  <si>
    <t xml:space="preserve">Cuando cambie</t>
  </si>
  <si>
    <t xml:space="preserve">Hoy viven en la app. Servirlas desde frilo.dev y redirigir con 301 la ruta vieja si cambia. Title corto aceptado por ser legal.</t>
  </si>
  <si>
    <t xml:space="preserve">Legal-2</t>
  </si>
  <si>
    <t xml:space="preserve">Política de datos</t>
  </si>
  <si>
    <t xml:space="preserve">https://frilo.dev/politica-de-datos</t>
  </si>
  <si>
    <t xml:space="preserve">/politica-de-datos</t>
  </si>
  <si>
    <t xml:space="preserve">Política de tratamiento de datos personales | Frilo</t>
  </si>
  <si>
    <t xml:space="preserve">Cómo Frilo recolecta, usa y protege tus datos personales según la Ley 1581 de 2012, y cómo ejercer tus derechos como titular.</t>
  </si>
  <si>
    <t xml:space="preserve">Política de tratamiento de datos personales</t>
  </si>
  <si>
    <t xml:space="preserve">Inicio › Política de datos</t>
  </si>
  <si>
    <t xml:space="preserve">Enlazada desde el consentimiento del banner de registro. Misma nota de migración que Términos.</t>
  </si>
  <si>
    <t xml:space="preserve">SEM</t>
  </si>
  <si>
    <t xml:space="preserve">Landing de pauta</t>
  </si>
  <si>
    <t xml:space="preserve">https://frilo.dev/lp/planilla-independientes</t>
  </si>
  <si>
    <t xml:space="preserve">/lp/planilla-independientes</t>
  </si>
  <si>
    <t xml:space="preserve">Landing SEM</t>
  </si>
  <si>
    <t xml:space="preserve">LandingSEM.dc.html</t>
  </si>
  <si>
    <t xml:space="preserve">noindex, follow</t>
  </si>
  <si>
    <t xml:space="preserve">No</t>
  </si>
  <si>
    <t xml:space="preserve">https://frilo.dev/lp/planilla-independientes (autocanónica, noindex)</t>
  </si>
  <si>
    <t xml:space="preserve">No aplica (pauta)</t>
  </si>
  <si>
    <t xml:space="preserve">No aplica (noindex). Grupo de anuncios: calculadora de aportes</t>
  </si>
  <si>
    <t xml:space="preserve">calculadora de liquidacion planilla (CPC 0,87 USD)</t>
  </si>
  <si>
    <t xml:space="preserve">¿Cuánto pagas de planilla como independiente? | Frilo</t>
  </si>
  <si>
    <t xml:space="preserve">(no aplica: noindex)</t>
  </si>
  <si>
    <t xml:space="preserve">¿Cuánto pagas de planilla como independiente en 2026?</t>
  </si>
  <si>
    <t xml:space="preserve">Ninguno</t>
  </si>
  <si>
    <t xml:space="preserve">Sin breadcrumb ni navegación</t>
  </si>
  <si>
    <t xml:space="preserve">Por campaña</t>
  </si>
  <si>
    <t xml:space="preserve">Bloqueada en robots.txt (/lp/) y fuera del sitemap. Reforzar presupuesto en enero.</t>
  </si>
  <si>
    <t xml:space="preserve">APP</t>
  </si>
  <si>
    <t xml:space="preserve">App web (herramienta)</t>
  </si>
  <si>
    <t xml:space="preserve">https://app.frilo.dev</t>
  </si>
  <si>
    <t xml:space="preserve">app.frilo.dev</t>
  </si>
  <si>
    <t xml:space="preserve">App web</t>
  </si>
  <si>
    <t xml:space="preserve">Repositorio actual de la app</t>
  </si>
  <si>
    <t xml:space="preserve">Existe en frilo.dev; mover</t>
  </si>
  <si>
    <t xml:space="preserve">noindex, nofollow (meta + cabecera X-Robots-Tag)</t>
  </si>
  <si>
    <t xml:space="preserve">— (no aplica)</t>
  </si>
  <si>
    <t xml:space="preserve">Recomendación</t>
  </si>
  <si>
    <t xml:space="preserve">(definido por la app)</t>
  </si>
  <si>
    <t xml:space="preserve">(no aplica)</t>
  </si>
  <si>
    <t xml:space="preserve">Ver hoja "App y ambientes". Todos los CTA "Probar la app gratis" y "Entrar" apuntan aquí.</t>
  </si>
  <si>
    <t xml:space="preserve">Rangos: title de 55 a 65 caracteres con " | Frilo"; meta description de 120 a 150. Verde = en rango; rojo = fuera de rango en una página indexable (las legales se aceptan cortas). El año va en title y H1, nunca en la URL.</t>
  </si>
  <si>
    <t xml:space="preserve">Tipos</t>
  </si>
  <si>
    <t xml:space="preserve">JSON-LD para &lt;script type="application/ld+json"&gt;</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</si>
  <si>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"WebPage",
      "@id": "https://frilo.dev",
      "url": "https://frilo.dev",
      "name": "Frilo",
      "description": "Calcula tu planilla de independiente, aparta tu prima y tus cesantías y sigue el dólar. Gratis, en pesos o en dólares, sin registro.",
      "inLanguage": "es-CO",
      "isPartOf": {
        "@id": "https://frilo.dev/#website"
      },
      "dateModified": "2026-10-20"
    },
    {
      "@type": "FAQPage",
      "@id": "https://frilo.dev/#faq",
      "mainEntity": [
        {
          "@type": "Question",
          "name": "¿Frilo es gratis?",
          "acceptedAnswer": {
            "@type": "Answer",
            "text": "Sí. Las calculadoras se usan sin registro. Crear una cuenta es gratis y sirve para guardar tus cálculos y recibir alertas."
          }
        },
        {
          "@type": "Question",
          "name": "¿Las cuentas que recomienda Frilo le pagan?",
          "acceptedAnswer": {
            "@type": "Answer",
            "text": "No. Frilo es un proyecto nuevo y gratuito: ninguna entidad nos paga por aparecer y el orden de las comparativas es siempre por tasa. No vendemos tus datos."
          }
        },
        {
          "@type": "Question",
          "name": "¿Frilo paga mi planilla?",
          "acceptedAnswer": {
            "@type": "Answer",
            "text": "No. Calcula el valor y te lleva al operador para que la pagues tú."
          }
        },
        {
          "@type": "Question",
          "name": "¿Sirve si me pagan en pesos?",
          "acceptedAnswer": {
            "@type": "Answer",
            "text": "Sí. Funciona para contratos de prestación de servicios en pesos, en dólares o de ambas formas."
          }
        },
        {
          "@type": "Question",
          "name": "¿De dónde sale la TRM?",
          "acceptedAnswer": {
            "@type": "Answer",
            "text": "Del dato oficial que publica la Superintendencia Financiera en Datos Abiertos Colombia."
          }
        },
        {
          "@type": "Question",
          "name": "¿Es asesoría financiera?",
          "acceptedAnswer": {
            "@type": "Answer",
            "text": "No. Son cálculos y simulaciones con fines informativos."
          }
        }
      ]
    }
  ]
}</t>
  </si>
  <si>
    <t xml:space="preserve">Un solo script por página. Organization, WebSite y Person van en todas las páginas con el mismo @id. dateModified y lastReviewed = fecha real de la última edición (la misma visible en la página). FAQPage con las preguntas visibles del wireframe: si el texto cambia en el código, regenerar.</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</si>
  <si>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"CollectionPage",
      "@id": "https://frilo.dev/calculadoras",
      "url": "https://frilo.dev/calculadoras",
      "name": "Calculadoras para independientes y contratistas en Colombia",
      "description": "Calculadoras gratis para independientes en Colombia: aportes, fecha de pago de la planilla, cesantías e intereses y dólar hoy. Sin registro.",
      "inLanguage": "es-CO",
      "isPartOf": {
        "@id": "https://frilo.dev/#website"
      },
      "dateModified": "2026-10-20",
      "mainEntity": {
        "@type": "ItemList",
        "itemListElement": [
          {
            "@type": "ListItem",
            "position": 1,
            "url": "https://frilo.dev/calculadoras/aportes-independientes",
            "name": "Calculadora de aportes para independientes 2026"
          },
          {
            "@type": "ListItem",
            "position": 2,
            "url": "https://frilo.dev/calculadoras/fecha-pago-planilla",
            "name": "Fechas de pago de la planilla de seguridad social 2026"
          },
          {
            "@type": "ListItem",
            "position": 3,
            "url": "https://frilo.dev/calculadoras/cesantias",
            "name": "Calculadora de cesantías e intereses de cesantías 2026"
          },
          {
            "@type": "ListItem",
            "position": 4,
            "url": "https://frilo.dev/calculadoras/interes-compuesto",
            "name": "Calculadora de interés compuesto: simula cuánto rinde tu ahorro"
          },
          {
            "@type": "ListItem",
            "position": 5,
            "url": "https://frilo.dev/dolar-hoy",
            "name": "Dólar hoy en Colombia: TRM del [fecha dinámica]"
          }
        ]
      }
    },
    {
      "@type": "BreadcrumbList",
      "itemListElement": [
        {
          "@type": "ListItem",
          "position": 1,
          "name": "Inicio",
          "item": "https://frilo.dev"
        },
        {
          "@type": "ListItem",
          "position": 2,
          "name": "Calculadoras"
        }
      ]
    }
  ]
}</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</si>
  <si>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"WebPage",
      "@id": "https://frilo.dev/calculadoras/aportes-independientes",
      "url": "https://frilo.dev/calculadoras/aportes-independientes",
      "name": "Calculadora de aportes para independientes 2026",
      "description": "Calcula cuánto pagas de salud, pensión, ARL y Fondo de Solidaridad como independiente o contratista en 2026. Gratis y sin registro.",
      "inLanguage": "es-CO",
      "isPartOf": {
        "@id": "https://frilo.dev/#website"
      },
      "dateModified": "2026-10-20",
      "mainEntity": {
        "@id": "https://frilo.dev/calculadoras/aportes-independientes#app"
      },
      "author": {
        "@id": "https://frilo.dev/#nicolas"
      },
      "reviewedBy": {
        "@type": "Organization",
        "name": "Equipo de finanzas Frilo",
        "parentOrganization": {
          "@id": "https://frilo.dev/#organization"
        }
      },
      "lastReviewed": "2026-10-20"
    },
    {
      "@type": "WebApplication",
      "@id": "https://frilo.dev/calculadoras/aportes-independientes#app",
      "name": "Calculadora de aportes para independientes 2026",
      "url": "https://frilo.dev/calculadoras/aportes-independientes",
      "applicationCategory": "FinanceApplication",
      "operatingSystem": "Web",
      "inLanguage": "es-CO",
      "isAccessibleForFree": true,
      "offers": {
        "@type": "Offer",
        "price": "0",
        "priceCurrency": "COP"
      },
      "publisher": {
        "@id": "https://frilo.dev/#organization"
      },
      "dateModified": "2026-10-20"
    },
    {
      "@type": "BreadcrumbList",
      "itemListElement": [
        {
          "@type": "ListItem",
          "position": 1,
          "name": "Inicio",
          "item": "https://frilo.dev"
        },
        {
          "@type": "ListItem",
          "position": 2,
          "name": "Calculadoras",
          "item": "https://frilo.dev/calculadoras"
        },
        {
          "@type": "ListItem",
          "position": 3,
          "name": "Aportes para independientes"
        }
      ]
    },
    {
      "@type": "FAQPage",
      "@id": "https://frilo.dev/calculadoras/aportes-independientes#faq",
      "mainEntity": [
        {
          "@type": "Question",
          "name": "¿Puedo calcular la liquidación de mi planilla antes de pagar?",
          "acceptedAnswer": {
            "@type": "Answer",
            "text": "Sí. Esta calculadora hace la liquidación de aportes con las tarifas y el redondeo de la PILA. El valor final lo confirma el operador al liquidar tu planilla."
          }
        },
        {
          "@type": "Question",
          "name": "¿El resultado es el mismo que me da Mi Planilla o SOI?",
          "acceptedAnswer": {
            "@type": "Answer",
            "text": "Usamos la misma fórmula (40% del ingreso, tarifas de 2026 y redondeo a 100). Puede haber diferencias si reportas novedades, días incompletos o una clase de riesgo distinta."
          }
        },
        {
          "@type": "Question",
          "name": "¿Tengo que pagar ARL si trabajo desde mi casa?",
          "acceptedAnswer": {
            "@type": "Answer",
            "text": "Depende de tu contrato. Si tienes un contrato de prestación de servicios de más de un mes, la ARL es obligatoria (Decreto 723 de 2013): en riesgo I a III la pagas tú y en IV y V la paga el contratante. Si trabajas por tu cuenta, sin contrato, en riesgo I a III es voluntaria."
          }
        },
        {
          "@type": "Question",
          "name": "¿Qué pasa si facturo menos de un salario mínimo?",
          "acceptedAnswer": {
            "@type": "Answer",
            "text": "Cotizas igual sobre un salario mínimo ($1.750.905 en 2026), porque es la base mínima de cotización. Por eso la calculadora nunca usa un IBC menor."
          }
        },
        {
          "@type": "Question",
          "name": "¿Cómo cotizo si tengo varios contratos?",
          "acceptedAnswer": {
            "@type": "Answer",
            "text": "Sumas lo que facturas en el mes por todos tus contratos y sacas el 40% de esa suma. El IBC sigue con el tope de 25 salarios mínimos."
          }
        },
        {
          "@type": "Question",
          "name": "¿Si me pagan en dólares, qué TRM uso?",
          "acceptedAnswer": {
            "@type": "Answer",
            "text": "Usa el valor en pesos de lo que recibiste. Si necesitas convertir, toma la TRM del día en que te pagaron. Puedes consultarla en dólar hoy en Colombia."
          }
        },
        {
          "@type": "Question",
          "name": "¿Y si trabajo por cuenta propia, sin contrato de prestación de servicios?",
          "acceptedAnswer": {
            "@type": "Answer",
            "text": "Desde el Decreto 379 de 2026, primero descuentas tus costos (o aplicas la presunción de costos de la UGPP) y sacas el 40% del ingreso neto. Esta calculadora está pensada para contratistas de prestación de servicios."
          }
        }
      ]
    }
  ]
}</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</si>
  <si>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"WebPage",
      "@id": "https://frilo.dev/guias/ibc-independientes",
      "url": "https://frilo.dev/guias/ibc-independientes",
      "name": "IBC para independientes 2026: qué es y cómo calcularlo",
      "description": "Qué es el IBC de un independiente, cómo calcularlo en 2026 con el 40% de tus ingresos y cómo cambiarlo en SOI. Con calculadora gratis.",
      "inLanguage": "es-CO",
      "isPartOf": {
        "@id": "https://frilo.dev/#website"
      },
      "dateModified": "2026-10-20",
      "reviewedBy": {
        "@type": "Organization",
        "name": "Equipo de finanzas Frilo",
        "parentOrganization": {
          "@id": "https://frilo.dev/#organization"
        }
      },
      "lastReviewed": "2026-10-20",
      "mainEntity": {
        "@id": "https://frilo.dev/guias/ibc-independientes#article"
      }
    },
    {
      "@type": "Article",
      "@id": "https://frilo.dev/guias/ibc-independientes#article",
      "headline": "IBC para independientes 2026: qué es y cómo calcularlo",
      "description": "Qué es el IBC de un independiente, cómo calcularlo en 2026 con el 40% de tus ingresos y cómo cambiarlo en SOI. Con calculadora gratis.",
      "mainEntityOfPage": "https://frilo.dev/guias/ibc-independientes",
      "inLanguage": "es-CO",
      "author": {
        "@id": "https://frilo.dev/#nicolas"
      },
      "publisher": {
        "@id": "https://frilo.dev/#organization"
      },
      "datePublished": "2026-10-20",
      "dateModified": "2026-10-20",
      "image": "https://frilo.dev/og/guias/ibc-independientes.png"
    },
    {
      "@type": "BreadcrumbList",
      "itemListElement": [
        {
          "@type": "ListItem",
          "position": 1,
          "name": "Inicio",
          "item": "https://frilo.dev"
        },
        {
          "@type": "ListItem",
          "position": 2,
          "name": "Guías",
          "item": "https://frilo.dev/guias"
        },
        {
          "@type": "ListItem",
          "position": 3,
          "name": "IBC para independientes"
        }
      ]
    },
    {
      "@type": "FAQPage",
      "@id": "https://frilo.dev/guias/ibc-independientes#faq",
      "mainEntity": [
        {
          "@type": "Question",
          "name": "¿El IBC se calcula sobre lo facturado o sobre lo recibido?",
          "acceptedAnswer": {
            "@type": "Answer",
            "text": "Si tienes contrato de prestación de servicios, sobre el 40% del valor mensualizado del contrato, sin IVA. Como cotizas mes vencido, pagas en la planilla del mes siguiente. Si trabajas por cuenta propia, sin contrato de prestación de servicios, primero descuentas tus costos y sacas el 40% del ingreso neto (Decreto 379 de 2026)."
          }
        },
        {
          "@type": "Question",
          "name": "¿Puedo cotizar sobre un IBC mayor al 40%?",
          "acceptedAnswer": {
            "@type": "Answer",
            "text": "Sí. El 40% es la base mínima, no la máxima (artículo 89 de la Ley 2277 de 2022). Puedes cotizar sobre más para mejorar tu pensión futura, sin pasar de 25 salarios mínimos ($43.772.625 en 2026)."
          }
        },
        {
          "@type": "Question",
          "name": "¿Qué pasa si no reporto bien mi IBC?",
          "acceptedAnswer": {
            "@type": "Answer",
            "text": "La UGPP fiscaliza los aportes de los independientes y puede cobrar lo que faltó, con intereses y sanciones. Guarda tus facturas y las planillas pagadas."
          }
        }
      ]
    }
  ]
}</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</si>
  <si>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"WebPage",
      "@id": "https://frilo.dev/calculadoras/cesantias",
      "url": "https://frilo.dev/calculadoras/cesantias",
      "name": "Calculadora de cesantías e intereses de cesantías 2026",
      "description": "Calcula tus cesantías y los intereses del 12% en 2026, con contrato laboral o como independiente. Incluye años anteriores. Sin registro.",
      "inLanguage": "es-CO",
      "isPartOf": {
        "@id": "https://frilo.dev/#website"
      },
      "dateModified": "2026-10-20",
      "mainEntity": {
        "@id": "https://frilo.dev/calculadoras/cesantias#app"
      },
      "author": {
        "@id": "https://frilo.dev/#nicolas"
      },
      "reviewedBy": {
        "@type": "Organization",
        "name": "Equipo de finanzas Frilo",
        "parentOrganization": {
          "@id": "https://frilo.dev/#organization"
        }
      },
      "lastReviewed": "2026-10-20"
    },
    {
      "@type": "WebApplication",
      "@id": "https://frilo.dev/calculadoras/cesantias#app",
      "name": "Calculadora de cesantías e intereses de cesantías 2026",
      "url": "https://frilo.dev/calculadoras/cesantias",
      "applicationCategory": "FinanceApplication",
      "operatingSystem": "Web",
      "inLanguage": "es-CO",
      "isAccessibleForFree": true,
      "offers": {
        "@type": "Offer",
        "price": "0",
        "priceCurrency": "COP"
      },
      "publisher": {
        "@id": "https://frilo.dev/#organization"
      },
      "dateModified": "2026-10-20"
    },
    {
      "@type": "BreadcrumbList",
      "itemListElement": [
        {
          "@type": "ListItem",
          "position": 1,
          "name": "Inicio",
          "item": "https://frilo.dev"
        },
        {
          "@type": "ListItem",
          "position": 2,
          "name": "Calculadoras",
          "item": "https://frilo.dev/calculadoras"
        },
        {
          "@type": "ListItem",
          "position": 3,
          "name": "Cesantías e intereses"
        }
      ]
    },
    {
      "@type": "FAQPage",
      "@id": "https://frilo.dev/calculadoras/cesantias#faq",
      "mainEntity": [
        {
          "@type": "Question",
          "name": "¿Cuándo pagan los intereses de cesantías en 2026?",
          "acceptedAnswer": {
            "@type": "Answer",
            "text": "Los intereses de las cesantías de 2025 se pagan directamente al trabajador a más tardar el 31 de enero de 2026. Las cesantías se consignan al fondo a más tardar el 14 de febrero."
          }
        },
        {
          "@type": "Question",
          "name": "¿Qué pasa si el empleador no consigna las cesantías a tiempo?",
          "acceptedAnswer": {
            "@type": "Answer",
            "text": "Debe pagar una sanción moratoria: un día de salario por cada día de retraso en la consignación (Ley 50 de 1990, artículo 99)."
          }
        },
        {
          "@type": "Question",
          "name": "¿El auxilio de transporte se incluye en las cesantías?",
          "acceptedAnswer": {
            "@type": "Answer",
            "text": "Sí. Si ganas hasta 2 salarios mínimos y tienes derecho al auxilio de transporte ($249.095 en 2026), se suma al salario para liquidar las cesantías y sus intereses."
          }
        },
        {
          "@type": "Question",
          "name": "¿Un independiente tiene derecho a cesantías?",
          "acceptedAnswer": {
            "@type": "Answer",
            "text": "No por su contrato. Puede crear las suyas apartando el 8,33% de cada pago. Ver la guía."
          }
        }
      ]
    }
  ]
}</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</si>
  <si>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"WebPage",
      "@id": "https://frilo.dev/guias/descargar-planilla-seguridad-social",
      "url": "https://frilo.dev/guias/descargar-planilla-seguridad-social",
      "name": "Cómo descargar y verificar tu planilla de seguridad social",
      "description": "Descarga tu planilla de seguridad social, verifica que el pago quedó registrado y conoce qué cambia si eres independiente. Guía 2026.",
      "inLanguage": "es-CO",
      "isPartOf": {
        "@id": "https://frilo.dev/#website"
      },
      "dateModified": "2026-10-20",
      "reviewedBy": {
        "@type": "Organization",
        "name": "Equipo de finanzas Frilo",
        "parentOrganization": {
          "@id": "https://frilo.dev/#organization"
        }
      },
      "lastReviewed": "2026-10-20",
      "mainEntity": {
        "@id": "https://frilo.dev/guias/descargar-planilla-seguridad-social#article"
      }
    },
    {
      "@type": "Article",
      "@id": "https://frilo.dev/guias/descargar-planilla-seguridad-social#article",
      "headline": "Cómo descargar y verificar tu planilla de seguridad social",
      "description": "Descarga tu planilla de seguridad social, verifica que el pago quedó registrado y conoce qué cambia si eres independiente. Guía 2026.",
      "mainEntityOfPage": "https://frilo.dev/guias/descargar-planilla-seguridad-social",
      "inLanguage": "es-CO",
      "author": {
        "@id": "https://frilo.dev/#nicolas"
      },
      "publisher": {
        "@id": "https://frilo.dev/#organization"
      },
      "datePublished": "2026-10-20",
      "dateModified": "2026-10-20",
      "image": "https://frilo.dev/og/guias/descargar-planilla-seguridad-social.png"
    },
    {
      "@type": "BreadcrumbList",
      "itemListElement": [
        {
          "@type": "ListItem",
          "position": 1,
          "name": "Inicio",
          "item": "https://frilo.dev"
        },
        {
          "@type": "ListItem",
          "position": 2,
          "name": "Guías",
          "item": "https://frilo.dev/guias"
        },
        {
          "@type": "ListItem",
          "position": 3,
          "name": "Descargar la planilla"
        }
      ]
    },
    {
      "@type": "FAQPage",
      "@id": "https://frilo.dev/guias/descargar-planilla-seguridad-social#faq",
      "mainEntity": [
        {
          "@type": "Question",
          "name": "¿Puedo descargar la planilla si pagué en otro operador?",
          "acceptedAnswer": {
            "@type": "Answer",
            "text": "No. Cada operador guarda solo las planillas que se pagaron con él. Entra al portal del operador donde hiciste el pago."
          }
        },
        {
          "@type": "Question",
          "name": "¿Cuánto tarda en aparecer el pago?",
          "acceptedAnswer": {
            "@type": "Answer",
            "text": "Depende del operador y del medio de pago. Si no aparece, revisa con el número de planilla en el portal del operador o comunícate con su línea de atención."
          }
        },
        {
          "@type": "Question",
          "name": "¿La planilla sirve como certificado para mi contratante?",
          "acceptedAnswer": {
            "@type": "Answer",
            "text": "Sí. Los contratantes suelen pedir la planilla pagada del periodo para pagar tus honorarios, porque deben verificar que cotizaste."
          }
        }
      ]
    }
  ]
}</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</si>
  <si>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"WebPage",
      "@id": "https://frilo.dev/calculadoras/fecha-pago-planilla",
      "url": "https://frilo.dev/calculadoras/fecha-pago-planilla",
      "name": "Fechas de pago de la planilla de seguridad social 2026",
      "description": "Consulta la fecha límite para pagar la planilla de seguridad social en 2026 según los últimos dígitos de tu documento. Calendario completo.",
      "inLanguage": "es-CO",
      "isPartOf": {
        "@id": "https://frilo.dev/#website"
      },
      "dateModified": "2026-10-20",
      "mainEntity": {
        "@id": "https://frilo.dev/calculadoras/fecha-pago-planilla#app"
      },
      "author": {
        "@id": "https://frilo.dev/#nicolas"
      },
      "reviewedBy": {
        "@type": "Organization",
        "name": "Equipo de finanzas Frilo",
        "parentOrganization": {
          "@id": "https://frilo.dev/#organization"
        }
      },
      "lastReviewed": "2026-10-20"
    },
    {
      "@type": "WebApplication",
      "@id": "https://frilo.dev/calculadoras/fecha-pago-planilla#app",
      "name": "Fechas de pago de la planilla de seguridad social 2026",
      "url": "https://frilo.dev/calculadoras/fecha-pago-planilla",
      "applicationCategory": "FinanceApplication",
      "operatingSystem": "Web",
      "inLanguage": "es-CO",
      "isAccessibleForFree": true,
      "offers": {
        "@type": "Offer",
        "price": "0",
        "priceCurrency": "COP"
      },
      "publisher": {
        "@id": "https://frilo.dev/#organization"
      },
      "dateModified": "2026-10-20"
    },
    {
      "@type": "BreadcrumbList",
      "itemListElement": [
        {
          "@type": "ListItem",
          "position": 1,
          "name": "Inicio",
          "item": "https://frilo.dev"
        },
        {
          "@type": "ListItem",
          "position": 2,
          "name": "Calculadoras",
          "item": "https://frilo.dev/calculadoras"
        },
        {
          "@type": "ListItem",
          "position": 3,
          "name": "Fecha de pago de la planilla"
        }
      ]
    },
    {
      "@type": "FAQPage",
      "@id": "https://frilo.dev/calculadoras/fecha-pago-planilla#faq",
      "mainEntity": [
        {
          "@type": "Question",
          "name": "¿Qué pasa si la fecha cae en festivo?",
          "acceptedAnswer": {
            "@type": "Answer",
            "text": "No puede caer en festivo: el plazo se cuenta en días hábiles, así que los sábados, domingos y festivos no cuentan. Por eso tu fecha cambia de un mes a otro aunque tus dígitos sean los mismos."
          }
        },
        {
          "@type": "Question",
          "name": "¿Uso los dígitos de la cédula o del NIT?",
          "acceptedAnswer": {
            "@type": "Answer",
            "text": "Los dos últimos dígitos del documento con el que pagas la planilla. Si pagas con tu NIT, toma los dos últimos dígitos incluyendo el dígito de verificación."
          }
        },
        {
          "@type": "Question",
          "name": "¿Puedo pagar antes de mi fecha?",
          "acceptedAnswer": {
            "@type": "Answer",
            "text": "Sí. La fecha es el límite, no el único día posible. Puedes pagar desde que el operador habilita el periodo."
          }
        },
        {
          "@type": "Question",
          "name": "¿Frilo me puede avisar cada mes?",
          "acceptedAnswer": {
            "@type": "Answer",
            "text": "Sí. Crea tu cuenta gratis, escribe los dos últimos dígitos de tu documento y te enviamos un correo 3 días hábiles antes y el mismo día de tu fecha límite."
          }
        }
      ]
    }
  ]
}</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</si>
  <si>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"WebPage",
      "@id": "https://frilo.dev/glosario/sln",
      "url": "https://frilo.dev/glosario/sln",
      "name": "Qué significa SLN en la planilla de seguridad social",
      "description": "Te explicamos qué significa la novedad SLN en la planilla de seguridad social, cuándo se reporta y cómo afecta tus aportes.",
      "inLanguage": "es-CO",
      "isPartOf": {
        "@id": "https://frilo.dev/#website"
      },
      "dateModified": "2026-10-20",
      "author": {
        "@id": "https://frilo.dev/#nicolas"
      },
      "reviewedBy": {
        "@type": "Organization",
        "name": "Equipo de finanzas Frilo",
        "parentOrganization": {
          "@id": "https://frilo.dev/#organization"
        }
      },
      "lastReviewed": "2026-10-20",
      "mainEntity": {
        "@id": "https://frilo.dev/glosario/sln#term"
      }
    },
    {
      "@type": "DefinedTerm",
      "@id": "https://frilo.dev/glosario/sln#term",
      "name": "SLN",
      "alternateName": "Suspensión temporal del contrato o licencia no remunerada",
      "description": "[Primera oración visible de la página]",
      "inDefinedTermSet": {
        "@type": "DefinedTermSet",
        "@id": "https://frilo.dev/glosario",
        "name": "Glosario de seguridad social para independientes"
      }
    },
    {
      "@type": "BreadcrumbList",
      "itemListElement": [
        {
          "@type": "ListItem",
          "position": 1,
          "name": "Inicio",
          "item": "https://frilo.dev"
        },
        {
          "@type": "ListItem",
          "position": 2,
          "name": "Glosario",
          "item": "https://frilo.dev/glosario"
        },
        {
          "@type": "ListItem",
          "position": 3,
          "name": "SLN"
        }
      ]
    }
  ]
}</t>
  </si>
  <si>
    <t xml:space="preserve">Un solo script por página. Organization, WebSite y Person van en todas las páginas con el mismo @id. dateModified y lastReviewed = fecha real de la última edición (la misma visible en la página). FAQPage con las preguntas visibles del wireframe: si el texto cambia en el código, regenerar. description = primera oración visible.</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</si>
  <si>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"WebPage",
      "@id": "https://frilo.dev/dolar-hoy",
      "url": "https://frilo.dev/dolar-hoy",
      "name": "Dólar hoy en Colombia: TRM del [fecha dinámica]",
      "description": "Consulta el precio del dólar hoy en Colombia y la TRM oficial del día, con histórico, conversor de dólares a pesos y alertas por correo.",
      "inLanguage": "es-CO",
      "isPartOf": {
        "@id": "https://frilo.dev/#website"
      },
      "dateModified": "2026-10-20",
      "author": {
        "@id": "https://frilo.dev/#nicolas"
      },
      "reviewedBy": {
        "@type": "Organization",
        "name": "Equipo de finanzas Frilo",
        "parentOrganization": {
          "@id": "https://frilo.dev/#organization"
        }
      }
    },
    {
      "@type": "Dataset",
      "name": "TRM de los últimos 30 días",
      "description": "Tasa Representativa del Mercado (pesos por dólar) certificada por la Superintendencia Financiera de Colombia.",
      "creator": {
        "@type": "GovernmentOrganization",
        "name": "Superintendencia Financiera de Colombia"
      },
      "distribution": {
        "@type": "DataDownload",
        "encodingFormat": "application/json",
        "contentUrl": "https://www.datos.gov.co/resource/32sa-8pi3.json"
      },
      "temporalCoverage": "[últimos 30 días, dinámico]",
      "dateModified": "[fecha de la TRM, dinámica]"
    },
    {
      "@type": "BreadcrumbList",
      "itemListElement": [
        {
          "@type": "ListItem",
          "position": 1,
          "name": "Inicio",
          "item": "https://frilo.dev"
        },
        {
          "@type": "ListItem",
          "position": 2,
          "name": "Dólar hoy"
        }
      ]
    },
    {
      "@type": "FAQPage",
      "@id": "https://frilo.dev/dolar-hoy#faq",
      "mainEntity": [
        {
          "@type": "Question",
          "name": "¿A cómo está el dólar en Colombia hoy?",
          "acceptedAnswer": {
            "@type": "Answer",
            "text": "Hoy la TRM está en [X.XXX,XX] pesos por dólar, vigente desde el [fecha]."
          }
        },
        {
          "@type": "Question",
          "name": "¿La TRM es el precio al que me compran los dólares?",
          "acceptedAnswer": {
            "@type": "Answer",
            "text": "No exactamente. La TRM es la referencia oficial. Bancos y plataformas compran tus dólares con su propia tasa, normalmente por debajo de la TRM, y pueden cobrar comisión."
          }
        },
        {
          "@type": "Question",
          "name": "¿Qué TRM uso para calcular mi planilla si me pagan en dólares?",
          "acceptedAnswer": {
            "@type": "Answer",
            "text": "Cotizas sobre el valor en pesos que recibiste. Para estimarlo, usa la TRM del día del pago y la calculadora de aportes."
          }
        },
        {
          "@type": "Question",
          "name": "¿Necesito una cuenta en dólares para recibir pagos del exterior?",
          "acceptedAnswer": {
            "@type": "Answer",
            "text": "No. Puedes recibirlos en tu cuenta en pesos, y el banco los convierte. Una cuenta en dólares te deja elegir cuándo cambiarlos. Compara opciones en cuenta en dólares en Colombia."
          }
        }
      ]
    }
  ]
}</t>
  </si>
  <si>
    <t xml:space="preserve">Un solo script por página. Organization, WebSite y Person van en todas las páginas con el mismo @id. dateModified y lastReviewed = fecha real de la última edición (la misma visible en la página). FAQPage con las preguntas visibles del wireframe: si el texto cambia en el código, regenerar. La FAQ "¿A cómo está el dólar…" y el Dataset llevan valores dinámicos.</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</si>
  <si>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"WebPage",
      "@id": "https://frilo.dev/guias/cuenta-en-dolares-colombia",
      "url": "https://frilo.dev/guias/cuenta-en-dolares-colombia",
      "name": "Cuenta en dólares en Colombia: opciones, requisitos y costos",
      "description": "Compara las opciones para tener una cuenta en dólares en Colombia: requisitos, costos y tiempos de apertura. Guía para freelancers en 2026.",
      "inLanguage": "es-CO",
      "isPartOf": {
        "@id": "https://frilo.dev/#website"
      },
      "dateModified": "2026-10-20",
      "reviewedBy": {
        "@type": "Organization",
        "name": "Equipo de finanzas Frilo",
        "parentOrganization": {
          "@id": "https://frilo.dev/#organization"
        }
      },
      "lastReviewed": "2026-10-20",
      "mainEntity": {
        "@id": "https://frilo.dev/guias/cuenta-en-dolares-colombia#article"
      }
    },
    {
      "@type": "Article",
      "@id": "https://frilo.dev/guias/cuenta-en-dolares-colombia#article",
      "headline": "Cuenta en dólares en Colombia: opciones, requisitos y costos",
      "description": "Compara las opciones para tener una cuenta en dólares en Colombia: requisitos, costos y tiempos de apertura. Guía para freelancers en 2026.",
      "mainEntityOfPage": "https://frilo.dev/guias/cuenta-en-dolares-colombia",
      "inLanguage": "es-CO",
      "author": {
        "@id": "https://frilo.dev/#nicolas"
      },
      "publisher": {
        "@id": "https://frilo.dev/#organization"
      },
      "datePublished": "2026-10-20",
      "dateModified": "2026-10-20",
      "image": "https://frilo.dev/og/guias/cuenta-en-dolares-colombia.png"
    },
    {
      "@type": "BreadcrumbList",
      "itemListElement": [
        {
          "@type": "ListItem",
          "position": 1,
          "name": "Inicio",
          "item": "https://frilo.dev"
        },
        {
          "@type": "ListItem",
          "position": 2,
          "name": "Guías",
          "item": "https://frilo.dev/guias"
        },
        {
          "@type": "ListItem",
          "position": 3,
          "name": "Cuenta en dólares"
        }
      ]
    },
    {
      "@type": "FAQPage",
      "@id": "https://frilo.dev/guias/cuenta-en-dolares-colombia#faq",
      "mainEntity": [
        {
          "@type": "Question",
          "name": "¿Un freelancer puede abrir una cuenta en dólares en Colombia?",
          "acceptedAnswer": {
            "@type": "Answer",
            "text": "Sí. Puedes abrirla en un banco con filial en el exterior o usar una plataforma digital. Revisa si la entidad está vigilada por la Superintendencia Financiera: algunas plataformas, como Littio, no lo están y no tienen el respaldo de Fogafín."
          }
        },
        {
          "@type": "Question",
          "name": "¿Tengo que declarar una cuenta en dólares?",
          "acceptedAnswer": {
            "@type": "Answer",
            "text": "Los saldos y los ingresos en dólares se incluyen en tu declaración de renta. En lo cambiario, la DIAN explica que las operaciones de canalización obligatoria se hacen por intermediarios del mercado cambiario o por cuentas de compensación registradas en el Banco de la República, con declaración de cambio, y que debes guardar los soportes por cinco años. Revisa tu caso en la página de control cambiario de la DIAN."
          }
        },
        {
          "@type": "Question",
          "name": "¿Cuánto cobran por recibir una transferencia en dólares?",
          "acceptedAnswer": {
            "@type": "Answer",
            "text": "Depende de la entidad. Por ejemplo, Littio cobra USD 2,99 por recibir desde EE. UU. o Europa (consultado el 20 de octubre de 2026). Además, al pasar a pesos se aplica la tasa de la entidad, no la TRM."
          }
        }
      ]
    }
  ]
}</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</si>
  <si>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"WebPage",
      "@id": "https://frilo.dev/guias/recibir-pagos-en-dolares-colombia",
      "url": "https://frilo.dev/guias/recibir-pagos-en-dolares-colombia",
      "name": "Cómo recibir pagos del exterior en dólares en Colombia",
      "description": "Recibe pagos del exterior en dólares en Colombia: opciones, costos, tiempos y qué debes declarar. Guía para freelancers e independientes.",
      "inLanguage": "es-CO",
      "isPartOf": {
        "@id": "https://frilo.dev/#website"
      },
      "dateModified": "2026-10-20",
      "reviewedBy": {
        "@type": "Organization",
        "name": "Equipo de finanzas Frilo",
        "parentOrganization": {
          "@id": "https://frilo.dev/#organization"
        }
      },
      "lastReviewed": "2026-10-20",
      "mainEntity": {
        "@id": "https://frilo.dev/guias/recibir-pagos-en-dolares-colombia#article"
      }
    },
    {
      "@type": "Article",
      "@id": "https://frilo.dev/guias/recibir-pagos-en-dolares-colombia#article",
      "headline": "Cómo recibir pagos del exterior en dólares en Colombia",
      "description": "Recibe pagos del exterior en dólares en Colombia: opciones, costos, tiempos y qué debes declarar. Guía para freelancers e independientes.",
      "mainEntityOfPage": "https://frilo.dev/guias/recibir-pagos-en-dolares-colombia",
      "inLanguage": "es-CO",
      "author": {
        "@id": "https://frilo.dev/#nicolas"
      },
      "publisher": {
        "@id": "https://frilo.dev/#organization"
      },
      "datePublished": "2026-10-20",
      "dateModified": "2026-10-20",
      "image": "https://frilo.dev/og/guias/recibir-pagos-en-dolares-colombia.png"
    },
    {
      "@type": "BreadcrumbList",
      "itemListElement": [
        {
          "@type": "ListItem",
          "position": 1,
          "name": "Inicio",
          "item": "https://frilo.dev"
        },
        {
          "@type": "ListItem",
          "position": 2,
          "name": "Guías",
          "item": "https://frilo.dev/guias"
        },
        {
          "@type": "ListItem",
          "position": 3,
          "name": "Recibir pagos en dólares"
        }
      ]
    },
    {
      "@type": "FAQPage",
      "@id": "https://frilo.dev/guias/recibir-pagos-en-dolares-colombia#faq",
      "mainEntity": [
        {
          "@type": "Question",
          "name": "¿Puedo recibir dólares en una cuenta en pesos?",
          "acceptedAnswer": {
            "@type": "Answer",
            "text": "Sí. El banco recibe la transferencia y la convierte a pesos con su propia tasa, que suele ser menor que la TRM. Compara esa tasa y la comisión antes de elegir."
          }
        },
        {
          "@type": "Question",
          "name": "¿Qué TRM se usa para calcular la planilla?",
          "acceptedAnswer": {
            "@type": "Answer",
            "text": "Cotizas sobre el valor en pesos de lo que recibiste. Para estimarlo, usa la TRM del día del pago y luego la calculadora de aportes."
          }
        },
        {
          "@type": "Question",
          "name": "¿Tengo que pagar impuestos por recibir dólares?",
          "acceptedAnswer": {
            "@type": "Answer",
            "text": "Los pagos del exterior son ingresos y cuentan para tu declaración de renta como cualquier otro ingreso. Para las obligaciones cambiarias, consulta la página de control cambiario de la DIAN."
          }
        }
      ]
    }
  ]
}</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</si>
  <si>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"WebPage",
      "@id": "https://frilo.dev/calculadoras/interes-compuesto",
      "url": "https://frilo.dev/calculadoras/interes-compuesto",
      "name": "Calculadora de interés compuesto: simula cuánto rinde tu ahorro",
      "description": "Simula cuánto crece tu ahorro con interés compuesto: monto inicial, aporte mensual, tasa efectiva anual y plazo. Gratis y sin registro.",
      "inLanguage": "es-CO",
      "isPartOf": {
        "@id": "https://frilo.dev/#website"
      },
      "dateModified": "2026-10-20",
      "mainEntity": {
        "@id": "https://frilo.dev/calculadoras/interes-compuesto#app"
      },
      "author": {
        "@id": "https://frilo.dev/#nicolas"
      },
      "reviewedBy": {
        "@type": "Organization",
        "name": "Equipo de finanzas Frilo",
        "parentOrganization": {
          "@id": "https://frilo.dev/#organization"
        }
      },
      "lastReviewed": "2026-10-20"
    },
    {
      "@type": "WebApplication",
      "@id": "https://frilo.dev/calculadoras/interes-compuesto#app",
      "name": "Calculadora de interés compuesto: simula cuánto rinde tu ahorro",
      "url": "https://frilo.dev/calculadoras/interes-compuesto",
      "applicationCategory": "FinanceApplication",
      "operatingSystem": "Web",
      "inLanguage": "es-CO",
      "isAccessibleForFree": true,
      "offers": {
        "@type": "Offer",
        "price": "0",
        "priceCurrency": "COP"
      },
      "publisher": {
        "@id": "https://frilo.dev/#organization"
      },
      "dateModified": "2026-10-20"
    },
    {
      "@type": "BreadcrumbList",
      "itemListElement": [
        {
          "@type": "ListItem",
          "position": 1,
          "name": "Inicio",
          "item": "https://frilo.dev"
        },
        {
          "@type": "ListItem",
          "position": 2,
          "name": "Calculadoras",
          "item": "https://frilo.dev/calculadoras"
        },
        {
          "@type": "ListItem",
          "position": 3,
          "name": "Interés compuesto"
        }
      ]
    },
    {
      "@type": "FAQPage",
      "@id": "https://frilo.dev/calculadoras/interes-compuesto#faq",
      "mainEntity": [
        {
          "@type": "Question",
          "name": "¿Qué diferencia hay entre tasa E.A. y tasa nominal?",
          "acceptedAnswer": {
            "@type": "Answer",
            "text": "La tasa efectiva anual (E.A.) ya incluye el efecto de capitalizar los intereses. La nominal no: hay que convertirla según cuántas veces al año se capitaliza. Un 9% nominal con capitalización mensual equivale a cerca de 9,38% E.A."
          }
        },
        {
          "@type": "Question",
          "name": "¿El 4x1000 afecta lo que rinde mi ahorro?",
          "acceptedAnswer": {
            "@type": "Answer",
            "text": "El 4x1000 (GMF) se cobra cuando retiras o transfieres dinero, no sobre los intereses. Puedes marcar una sola cuenta como exenta, con un tope mensual que define cada entidad según la ley (por ejemplo, Nu informa hasta $16 millones al mes)."
          }
        },
        {
          "@type": "Question",
          "name": "¿Los rendimientos de una cuenta de ahorros pagan retención en la fuente?",
          "acceptedAnswer": {
            "@type": "Answer",
            "text": "Sí. En 2026 la retención en la fuente sobre intereses o rendimientos financieros es del 7%, sin base mínima (tabla de retención 2026). Activa la opción en la calculadora para verla descontada."
          }
        },
        {
          "@type": "Question",
          "name": "¿Es mejor capitalización diaria o mensual?",
          "acceptedAnswer": {
            "@type": "Answer",
            "text": "Si la tasa que te dan es efectiva anual (E.A.), da igual: la capitalización ya está incluida. Solo importa cuando la tasa es nominal; ahí, entre más frecuente la capitalización, más rinde."
          }
        },
        {
          "@type": "Question",
          "name": "¿Qué es la regla del 72?",
          "acceptedAnswer": {
            "@type": "Answer",
            "text": "Un atajo para estimar en cuántos años se duplica tu dinero: divide 72 entre la tasa anual. Al 9% E.A. tu ahorro se duplica en unos 8 años."
          }
        },
        {
          "@type": "Question",
          "name": "¿Esta calculadora sirve para inversiones o solo para ahorro?",
          "acceptedAnswer": {
            "@type": "Answer",
            "text": "Sirve para cualquier tasa que se mantenga fija. En inversiones como fondos o acciones la rentabilidad no está garantizada y puede ser negativa. No es asesoría financiera."
          }
        }
      ]
    }
  ]
}</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</si>
  <si>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"WebPage",
      "@id": "https://frilo.dev/guias/cuentas-de-ahorro-alto-rendimiento",
      "url": "https://frilo.dev/guias/cuentas-de-ahorro-alto-rendimiento",
      "name": "Cuentas de ahorro de alto rendimiento en Colombia: cuáles pagan más en 2026",
      "description": "Compara las cuentas de ahorro con mayor rentabilidad en Colombia: tasa EA, cuota de manejo, 4x1000 y respaldo de Fogafín. Datos de 2026.",
      "inLanguage": "es-CO",
      "isPartOf": {
        "@id": "https://frilo.dev/#website"
      },
      "dateModified": "2026-10-20",
      "reviewedBy": {
        "@type": "Organization",
        "name": "Equipo de finanzas Frilo",
        "parentOrganization": {
          "@id": "https://frilo.dev/#organization"
        }
      },
      "lastReviewed": "2026-10-20",
      "mainEntity": {
        "@id": "https://frilo.dev/guias/cuentas-de-ahorro-alto-rendimiento#article"
      }
    },
    {
      "@type": "Article",
      "@id": "https://frilo.dev/guias/cuentas-de-ahorro-alto-rendimiento#article",
      "headline": "Cuentas de ahorro de alto rendimiento en Colombia: cuáles pagan más en 2026",
      "description": "Compara las cuentas de ahorro con mayor rentabilidad en Colombia: tasa EA, cuota de manejo, 4x1000 y respaldo de Fogafín. Datos de 2026.",
      "mainEntityOfPage": "https://frilo.dev/guias/cuentas-de-ahorro-alto-rendimiento",
      "inLanguage": "es-CO",
      "author": {
        "@id": "https://frilo.dev/#nicolas"
      },
      "publisher": {
        "@id": "https://frilo.dev/#organization"
      },
      "datePublished": "2026-10-20",
      "dateModified": "2026-10-20",
      "image": "https://frilo.dev/og/guias/cuentas-de-ahorro-alto-rendimiento.png"
    },
    {
      "@type": "ItemList",
      "@id": "https://frilo.dev/guias/cuentas-de-ahorro-alto-rendimiento#cuentas",
      "name": "Cuentas de ahorro con mayor rentabilidad en Colombia",
      "itemListOrder": "https://schema.org/ItemListOrderDescending",
      "itemListElement": [
        {
          "@type": "ListItem",
          "position": 1,
          "item": {
            "@type": "DepositAccount",
            "name": "Cuenta Pibank",
            "provider": {
              "@type": "BankOrCreditUnion",
              "name": "Pibank"
            },
            "interestRate": {
              "@type": "QuantitativeValue",
              "value": 11.0,
              "unitText": "% E.A."
            }
          }
        },
        {
          "@type": "ListItem",
          "position": 2,
          "item": {
            "@type": "DepositAccount",
            "name": "Cuenta global en pesos",
            "provider": {
              "@type": "BankOrCreditUnion",
              "name": "Global66"
            },
            "interestRate": {
              "@type": "QuantitativeValue",
              "value": 11.0,
              "unitText": "% E.A."
            }
          }
        },
        {
          "@type": "ListItem",
          "position": 3,
          "item": {
            "@type": "DepositAccount",
            "name": "Bolsillos Lulo Bank",
            "provider": {
              "@type": "BankOrCreditUnion",
              "name": "Lulo Bank"
            },
            "interestRate": {
              "@type": "QuantitativeValue",
              "value": 9.5,
              "unitText": "% E.A."
            }
          }
        },
        {
          "@type": "ListItem",
          "position": 4,
          "item": {
            "@type": "DepositAccount",
            "name": "Bolsillos RappiPay",
            "provider": {
              "@type": "BankOrCreditUnion",
              "name": "RappiPay"
            },
            "interestRate": {
              "@type": "QuantitativeValue",
              "value": 9.0,
              "unitText": "% E.A."
            }
          }
        },
        {
          "@type": "ListItem",
          "position": 5,
          "item": {
            "@type": "DepositAccount",
            "name": "Cajitas Nu",
            "provider": {
              "@type": "BankOrCreditUnion",
              "name": "Nu Colombia"
            },
            "interestRate": {
              "@type": "QuantitativeValue",
              "value": 8.25,
              "unitText": "% E.A."
            }
          }
        },
        {
          "@type": "ListItem",
          "position": 6,
          "item": {
            "@type": "DepositAccount",
            "name": "Cuenta Ualá",
            "provider": {
              "@type": "BankOrCreditUnion",
              "name": "Ualá"
            },
            "interestRate": {
              "@type": "QuantitativeValue",
              "value": 5.0,
              "unitText": "% E.A."
            }
          }
        }
      ]
    },
    {
      "@type": "BreadcrumbList",
      "itemListElement": [
        {
          "@type": "ListItem",
          "position": 1,
          "name": "Inicio",
          "item": "https://frilo.dev"
        },
        {
          "@type": "ListItem",
          "position": 2,
          "name": "Guías",
          "item": "https://frilo.dev/guias"
        },
        {
          "@type": "ListItem",
          "position": 3,
          "name": "Cuentas de ahorro de alto rendimiento"
        }
      ]
    },
    {
      "@type": "FAQPage",
      "@id": "https://frilo.dev/guias/cuentas-de-ahorro-alto-rendimiento#faq",
      "mainEntity": [
        {
          "@type": "Question",
          "name": "¿Qué cuenta de ahorros paga más en Colombia?",
          "acceptedAnswer": {
            "@type": "Answer",
            "text": "Al 20 de octubre de 2026, Pibank y Global66 (en pesos) pagan 11% E.A. sin condiciones. Ualá llega a 10,5% E.A. si haces al menos $400.000 en compras al mes con su tarjeta."
          }
        },
        {
          "@type": "Question",
          "name": "¿Dónde pongo a rendir mi dinero si lo voy a necesitar pronto?",
          "acceptedAnswer": {
            "@type": "Answer",
            "text": "En una cuenta de ahorros sin plazo fijo, que liquide intereses sobre el saldo diario. Así gana mientras tanto y puedes sacarlo cuando lo necesites. Un CDT paga una tasa fija pero amarra el dinero al plazo."
          }
        },
        {
          "@type": "Question",
          "name": "¿Lulo Bank, Nu, RappiPay, Pibank, Ualá y Global66 son seguros?",
          "acceptedAnswer": {
            "@type": "Answer",
            "text": "Las seis están vigiladas por la Superintendencia Financiera. Pibank, Global66 (en pesos), RappiPay, Nu (hasta $50 millones) y Ualá tienen el respaldo del seguro de depósitos de Fogafín. Lulo Bank no lo menciona en la página que consultamos; puedes confirmarlo en el listado de entidades inscritas de Fogafín y la vigilancia de cada una en la Superintendencia Financiera."
          }
        },
        {
          "@type": "Question",
          "name": "¿Qué hacer con la prima?",
          "acceptedAnswer": {
            "@type": "Answer",
            "text": "Lo más común es usarla para gastos de junio y diciembre, pagar deudas caras o reforzar tu fondo de emergencias. Si no la vas a usar de inmediato, déjala en una cuenta que rinda mientras decides."
          }
        },
        {
          "@type": "Question",
          "name": "¿En qué invertir la prima?",
          "acceptedAnswer": {
            "@type": "Answer",
            "text": "Ahorrar no es lo mismo que invertir. Una cuenta de ahorros vigilada protege el dinero y paga una tasa conocida. Fondos, acciones o activos digitales pueden rendir más, pero también perder. Esta guía solo compara cuentas de ahorro y no es asesoría financiera."
          }
        },
        {
          "@type": "Question",
          "name": "¿Los intereses de la cuenta pagan impuestos?",
          "acceptedAnswer": {
            "@type": "Answer",
            "text": "Sí. Los rendimientos pueden tener retención en la fuente y cuentan para tu declaración de renta. En 2026 la retención sobre intereses o rendimientos financieros es del 7% (tabla de retención 2026). Pibank y Nu la muestran en sus simuladores."
          }
        }
      ]
    }
  ]
}</t>
  </si>
  <si>
    <t xml:space="preserve">Un solo script por página. Organization, WebSite y Person van en todas las páginas con el mismo @id. dateModified y lastReviewed = fecha real de la última edición (la misma visible en la página). FAQPage con las preguntas visibles del wireframe: si el texto cambia en el código, regenerar. Las tasas salen de cuentas.ts (mismo dato que la tabla). Sin Review ni AggregateRating.</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</si>
  <si>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"WebPage",
      "@id": "https://frilo.dev/guias/cesantias-independientes",
      "url": "https://frilo.dev/guias/cesantias-independientes",
      "name": "Cesantías para independientes: cómo crear las tuyas si tu contrato no las trae",
      "description": "Si trabajas por prestación de servicios no tienes cesantías. Aprende cuánto apartar cada mes, dónde guardarlas y cómo hacerlas rendir.",
      "inLanguage": "es-CO",
      "isPartOf": {
        "@id": "https://frilo.dev/#website"
      },
      "dateModified": "2026-10-20",
      "reviewedBy": {
        "@type": "Organization",
        "name": "Equipo de finanzas Frilo",
        "parentOrganization": {
          "@id": "https://frilo.dev/#organization"
        }
      },
      "lastReviewed": "2026-10-20",
      "mainEntity": {
        "@id": "https://frilo.dev/guias/cesantias-independientes#article"
      }
    },
    {
      "@type": "Article",
      "@id": "https://frilo.dev/guias/cesantias-independientes#article",
      "headline": "Cesantías para independientes: cómo crear las tuyas si tu contrato no las trae",
      "description": "Si trabajas por prestación de servicios no tienes cesantías. Aprende cuánto apartar cada mes, dónde guardarlas y cómo hacerlas rendir.",
      "mainEntityOfPage": "https://frilo.dev/guias/cesantias-independientes",
      "inLanguage": "es-CO",
      "author": {
        "@id": "https://frilo.dev/#nicolas"
      },
      "publisher": {
        "@id": "https://frilo.dev/#organization"
      },
      "datePublished": "2026-10-20",
      "dateModified": "2026-10-20",
      "image": "https://frilo.dev/og/guias/cesantias-independientes.png"
    },
    {
      "@type": "BreadcrumbList",
      "itemListElement": [
        {
          "@type": "ListItem",
          "position": 1,
          "name": "Inicio",
          "item": "https://frilo.dev"
        },
        {
          "@type": "ListItem",
          "position": 2,
          "name": "Guías",
          "item": "https://frilo.dev/guias"
        },
        {
          "@type": "ListItem",
          "position": 3,
          "name": "Cesantías para independientes"
        }
      ]
    },
    {
      "@type": "FAQPage",
      "@id": "https://frilo.dev/guias/cesantias-independientes#faq",
      "mainEntity": [
        {
          "@type": "Question",
          "name": "¿Un independiente puede afiliarse a un fondo de cesantías?",
          "acceptedAnswer": {
            "@type": "Answer",
            "text": "Sí, como ahorro voluntario. Puedes aportar en cualquier momento del año, directamente en fondos como Porvenir o Protección, o por planilla asistida en operadores como Aportes en Línea o Miplanilla. El aporte llega hasta la doceava parte (1/12) de tus ingresos del año anterior, y los fondos ofrecen portafolios de corto y largo plazo. Puedes retirar con más flexibilidad que un empleado, según las reglas de cada fondo. (Porvenir, Miplanilla)"
          }
        },
        {
          "@type": "Question",
          "name": "¿Lo que ahorro como cesantías propias paga impuestos?",
          "acceptedAnswer": {
            "@type": "Answer",
            "text": "Depende de dónde las guardes. En un fondo de cesantías, los aportes voluntarios pueden deducirse de la renta hasta 1/12 de tus ingresos, dentro de los topes de rentas exentas, si el dinero se queda en el fondo al menos hasta el 31 de diciembre del año en que aportaste. En una cuenta de ahorros no hay ese beneficio, y los intereses tienen retención en la fuente del 7%."
          }
        },
        {
          "@type": "Question",
          "name": "¿Qué pasa si un mes no me pagan?",
          "acceptedAnswer": {
            "@type": "Answer",
            "text": "No apartas ese mes y retomas cuando vuelvas a cobrar. Por eso conviene que la cuenta no tenga plazo fijo: el ahorro se adapta a tus ingresos."
          }
        }
      ]
    }
  ]
}</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</si>
  <si>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"CollectionPage",
      "@id": "https://frilo.dev/guias",
      "url": "https://frilo.dev/guias",
      "name": "Guías para independientes y freelancers en Colombia",
      "description": "Guías claras sobre planilla, IBC, prima, cesantías y pagos en dólares para independientes y freelancers en Colombia, con fuentes oficiales.",
      "inLanguage": "es-CO",
      "isPartOf": {
        "@id": "https://frilo.dev/#website"
      },
      "dateModified": "2026-10-20",
      "mainEntity": {
        "@type": "ItemList",
        "itemListElement": [
          {
            "@type": "ListItem",
            "position": 1,
            "url": "https://frilo.dev/guias/ibc-independientes",
            "name": "IBC para independientes 2026: qué es y cómo calcularlo"
          },
          {
            "@type": "ListItem",
            "position": 2,
            "url": "https://frilo.dev/guias/descargar-planilla-seguridad-social",
            "name": "Cómo descargar y verificar tu planilla de seguridad social"
          },
          {
            "@type": "ListItem",
            "position": 3,
            "url": "https://frilo.dev/guias/cesantias-independientes",
            "name": "Cesantías para independientes: cómo crear las tuyas si tu contrato no las trae"
          },
          {
            "@type": "ListItem",
            "position": 4,
            "url": "https://frilo.dev/guias/cuenta-en-dolares-colombia",
            "name": "Cuenta en dólares en Colombia: opciones, requisitos y costos"
          },
          {
            "@type": "ListItem",
            "position": 5,
            "url": "https://frilo.dev/guias/recibir-pagos-en-dolares-colombia",
            "name": "Cómo recibir pagos del exterior en dólares en Colombia"
          },
          {
            "@type": "ListItem",
            "position": 6,
            "url": "https://frilo.dev/guias/cuentas-de-ahorro-alto-rendimiento",
            "name": "Cuentas de ahorro de alto rendimiento en Colombia: cuáles pagan más en 2026"
          }
        ]
      }
    },
    {
      "@type": "BreadcrumbList",
      "itemListElement": [
        {
          "@type": "ListItem",
          "position": 1,
          "name": "Inicio",
          "item": "https://frilo.dev"
        },
        {
          "@type": "ListItem",
          "position": 2,
          "name": "Guías"
        }
      ]
    }
  ]
}</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</si>
  <si>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"CollectionPage",
      "@id": "https://frilo.dev/glosario",
      "url": "https://frilo.dev/glosario",
      "name": "Glosario de seguridad social para independientes",
      "description": "Qué significan las siglas de la planilla de seguridad social: SLN, IBC, PILA, ARL y FSP, explicadas para independientes en Colombia.",
      "inLanguage": "es-CO",
      "isPartOf": {
        "@id": "https://frilo.dev/#website"
      },
      "dateModified": "2026-10-20",
      "mainEntity": {
        "@type": "DefinedTermSet",
        "@id": "https://frilo.dev/glosario",
        "name": "Glosario de seguridad social para independientes",
        "hasDefinedTerm": [
          {
            "@id": "https://frilo.dev/glosario/sln#term"
          }
        ]
      }
    },
    {
      "@type": "BreadcrumbList",
      "itemListElement": [
        {
          "@type": "ListItem",
          "position": 1,
          "name": "Inicio",
          "item": "https://frilo.dev"
        },
        {
          "@type": "ListItem",
          "position": 2,
          "name": "Glosario"
        }
      ]
    }
  ]
}</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</si>
  <si>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"AboutPage",
      "@id": "https://frilo.dev/quienes-somos",
      "url": "https://frilo.dev/quienes-somos",
      "name": "Quiénes somos",
      "description": "Frilo es una app gratuita para freelancers y contratistas en Colombia. Conoce quién la hace, cómo revisamos los datos y qué no hacemos.",
      "inLanguage": "es-CO",
      "isPartOf": {
        "@id": "https://frilo.dev/#website"
      },
      "dateModified": "2026-10-20",
      "mainEntity": {
        "@id": "https://frilo.dev/#organization"
      }
    },
    {
      "@type": "BreadcrumbList",
      "itemListElement": [
        {
          "@type": "ListItem",
          "position": 1,
          "name": "Inicio",
          "item": "https://frilo.dev"
        },
        {
          "@type": "ListItem",
          "position": 2,
          "name": "Quiénes somos"
        }
      ]
    }
  ]
}</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</si>
  <si>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"WebPage",
      "@id": "https://frilo.dev/metodologia",
      "url": "https://frilo.dev/metodologia",
      "name": "Cómo calculamos y revisamos los datos de Frilo",
      "description": "Así calculamos los aportes, cesantías y tasas que muestra Frilo: fuentes oficiales, fechas de revisión y quién revisa cada página.",
      "inLanguage": "es-CO",
      "isPartOf": {
        "@id": "https://frilo.dev/#website"
      },
      "dateModified": "2026-10-20"
    },
    {
      "@type": "BreadcrumbList",
      "itemListElement": [
        {
          "@type": "ListItem",
          "position": 1,
          "name": "Inicio",
          "item": "https://frilo.dev"
        },
        {
          "@type": "ListItem",
          "position": 2,
          "name": "Metodología"
        }
      ]
    }
  ]
}</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</si>
  <si>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"WebPage",
      "@id": "https://frilo.dev/transparencia",
      "url": "https://frilo.dev/transparencia",
      "name": "Transparencia",
      "description": "Frilo es gratis, no recibe pagos de las entidades que compara y no vende tus datos. Te contamos cómo elegimos qué mostrar y cómo lo revisamos.",
      "inLanguage": "es-CO",
      "isPartOf": {
        "@id": "https://frilo.dev/#website"
      },
      "dateModified": "2026-10-20"
    },
    {
      "@type": "BreadcrumbList",
      "itemListElement": [
        {
          "@type": "ListItem",
          "position": 1,
          "name": "Inicio",
          "item": "https://frilo.dev"
        },
        {
          "@type": "ListItem",
          "position": 2,
          "name": "Transparencia"
        }
      ]
    }
  ]
}</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</si>
  <si>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"WebPage",
      "@id": "https://frilo.dev/terminos",
      "url": "https://frilo.dev/terminos",
      "name": "Términos de uso",
      "description": "Condiciones de uso de Frilo, la app gratuita de finanzas para freelancers y contratistas en Colombia.",
      "inLanguage": "es-CO",
      "isPartOf": {
        "@id": "https://frilo.dev/#website"
      },
      "dateModified": "2026-10-20"
    },
    {
      "@type": "BreadcrumbList",
      "itemListElement": [
        {
          "@type": "ListItem",
          "position": 1,
          "name": "Inicio",
          "item": "https://frilo.dev"
        },
        {
          "@type": "ListItem",
          "position": 2,
          "name": "Términos de uso"
        }
      ]
    }
  ]
}</t>
  </si>
  <si>
    <t xml:space="preserve">{
  "@context": "https://schema.org",
  "@graph": [
    {
      "@type": "Organization",
      "@id": "https://frilo.dev/#organization",
      "name": "Frilo",
      "url": "https://frilo.dev",
      "logo": "https://frilo.dev/logos/isotipo-oliva.png",
      "slogan": "Tus finanzas, mejor con Frilo",
      "areaServed": "CO"
    },
    {
      "@type": "WebSite",
      "@id": "https://frilo.dev/#website",
      "url": "https://frilo.dev",
      "name": "Frilo",
      "inLanguage": "es-CO",
      "publisher": {
        "@id": "https://frilo.dev/#organization"
      }
    },
    {
      "@type": "Person",
      "@id": "https://frilo.dev/#nicolas",
      "name": "Nicolás Suárez",
      "jobTitle": "Fundador de Frilo",
      "url": "https://frilo.dev/quienes-somos"
    },
    {
      "@type": "WebPage",
      "@id": "https://frilo.dev/politica-de-datos",
      "url": "https://frilo.dev/politica-de-datos",
      "name": "Política de tratamiento de datos personales",
      "description": "Cómo Frilo recolecta, usa y protege tus datos personales según la Ley 1581 de 2012, y cómo ejercer tus derechos como titular.",
      "inLanguage": "es-CO",
      "isPartOf": {
        "@id": "https://frilo.dev/#website"
      },
      "dateModified": "2026-10-20"
    },
    {
      "@type": "BreadcrumbList",
      "itemListElement": [
        {
          "@type": "ListItem",
          "position": 1,
          "name": "Inicio",
          "item": "https://frilo.dev"
        },
        {
          "@type": "ListItem",
          "position": 2,
          "name": "Política de datos"
        }
      ]
    }
  ]
}</t>
  </si>
  <si>
    <t xml:space="preserve">(sin datos estructurados)</t>
  </si>
  <si>
    <t xml:space="preserve">Sin schema.</t>
  </si>
  <si>
    <t xml:space="preserve">Volumen del grupo</t>
  </si>
  <si>
    <t xml:space="preserve">Clics/mes posición 10</t>
  </si>
  <si>
    <t xml:space="preserve">Clics/mes posición 3</t>
  </si>
  <si>
    <t xml:space="preserve">Clics/mes posición 1</t>
  </si>
  <si>
    <t xml:space="preserve">Nota</t>
  </si>
  <si>
    <t xml:space="preserve">Sin volumen medido: completar con Ranki.</t>
  </si>
  <si>
    <t xml:space="preserve">Techo: el conversor de Google se queda con buena parte de los clics.</t>
  </si>
  <si>
    <t xml:space="preserve">Total</t>
  </si>
  <si>
    <t xml:space="preserve">Total sin P07 (dólar hoy)</t>
  </si>
  <si>
    <t xml:space="preserve">Clics = volumen del grupo × CTR de la hoja Supuestos. Estacionalidad: "calculadora de aportes" llega a 2x en enero (4.400 vs. 2.192 de promedio). Para un forecast mensual, multiplicar P01, P02, P03 y P05 por el índice de la hoja Estacionalidad del research.</t>
  </si>
  <si>
    <t xml:space="preserve">Fecha de publicación</t>
  </si>
  <si>
    <t xml:space="preserve">¿Indexada? (Sí/No)</t>
  </si>
  <si>
    <t xml:space="preserve">Fecha de indexación</t>
  </si>
  <si>
    <t xml:space="preserve">Posición actual (keyword objetivo)</t>
  </si>
  <si>
    <t xml:space="preserve">Clics (28 días)</t>
  </si>
  <si>
    <t xml:space="preserve">Impresiones (28 días)</t>
  </si>
  <si>
    <t xml:space="preserve">CTR</t>
  </si>
  <si>
    <t xml:space="preserve">LCP (s)</t>
  </si>
  <si>
    <t xml:space="preserve">INP (ms)</t>
  </si>
  <si>
    <t xml:space="preserve">CLS</t>
  </si>
  <si>
    <t xml:space="preserve">Core Web Vitals</t>
  </si>
  <si>
    <t xml:space="preserve">Última revisión</t>
  </si>
  <si>
    <t xml:space="preserve">Comentarios</t>
  </si>
  <si>
    <t xml:space="preserve">FILA DE EJEMPLO: reemplazar con datos reales</t>
  </si>
  <si>
    <t xml:space="preserve">Llenar las celdas amarillas con Search Console (indexación, clics, impresiones), Ranki (posición) y PageSpeed Insights o CrUX (LCP, INP, CLS). Umbrales "Bueno": LCP ≤ 2,5 s, INP ≤ 200 ms, CLS ≤ 0,1 (Google, web.dev/vitals). La fila 2 es un ejemplo de formato.</t>
  </si>
  <si>
    <t xml:space="preserve">Dónde vive cada cosa</t>
  </si>
  <si>
    <t xml:space="preserve">Recomendación de URL para la app web</t>
  </si>
  <si>
    <t xml:space="preserve">Opción</t>
  </si>
  <si>
    <t xml:space="preserve">Cómo queda</t>
  </si>
  <si>
    <t xml:space="preserve">Evaluación</t>
  </si>
  <si>
    <t xml:space="preserve">Recomendada: subdominio</t>
  </si>
  <si>
    <t xml:space="preserve">Sitio en https://frilo.dev · App en https://app.frilo.dev</t>
  </si>
  <si>
    <t xml:space="preserve">La app no se indexa (noindex, nofollow), así que el subdominio no le quita autoridad SEO al sitio. Separa el JavaScript de la app del sitio: las páginas de contenido cargan solo lo suyo y su Core Web Vitals no depende de la app. Se despliegan por separado (un error en la app no tumba el sitio). Encaja con el brief §2.9, que ya define la cookie de sesión en el dominio .frilo.dev para compartir el registro entre sitio y app. Es la convención de los productos financieros que revisamos.</t>
  </si>
  <si>
    <t xml:space="preserve">Alternativa: subcarpeta</t>
  </si>
  <si>
    <t xml:space="preserve">Sitio en https://frilo.dev · App en https://frilo.dev/app</t>
  </si>
  <si>
    <t xml:space="preserve">Solo conviene si Claude Code ve que separar la app es costoso. Un solo proyecto y un solo despliegue, pero el sitio carga con la configuración de la app y cualquier cambio en la app redespliega el sitio. Requiere bloquear /app/ en robots.txt (ya está en la especificación) y noindex en todas sus rutas.</t>
  </si>
  <si>
    <t xml:space="preserve">Ambientes</t>
  </si>
  <si>
    <t xml:space="preserve">Ambiente</t>
  </si>
  <si>
    <t xml:space="preserve">URL</t>
  </si>
  <si>
    <t xml:space="preserve">Reglas</t>
  </si>
  <si>
    <t xml:space="preserve">Desarrollo local</t>
  </si>
  <si>
    <t xml:space="preserve">http://localhost:3000 (sitio) y el puerto actual de la app</t>
  </si>
  <si>
    <t xml:space="preserve">Datos de prueba. Nada se publica.</t>
  </si>
  <si>
    <t xml:space="preserve">Prueba (staging) del sitio</t>
  </si>
  <si>
    <t xml:space="preserve">URL de vista previa de Vercel del proyecto del sitio (rama de trabajo), opcionalmente con alias staging.frilo.dev</t>
  </si>
  <si>
    <t xml:space="preserve">Protegida con Vercel Authentication (Deployment Protection) para que solo la vean cuentas del equipo. Cabecera X-Robots-Tag: noindex, nofollow y robots.txt con "Disallow: /" en todo lo que no sea producción. Sin Google Analytics de producción.</t>
  </si>
  <si>
    <t xml:space="preserve">Prueba de la app</t>
  </si>
  <si>
    <t xml:space="preserve">URL de vista previa de Vercel del proyecto de la app</t>
  </si>
  <si>
    <t xml:space="preserve">Para probar el cambio de dominio, el registro embebido y el callback de Google antes de publicar. No tocar el dominio de producción.</t>
  </si>
  <si>
    <t xml:space="preserve">Producción</t>
  </si>
  <si>
    <t xml:space="preserve">https://frilo.dev (sitio) y https://app.frilo.dev (app)</t>
  </si>
  <si>
    <t xml:space="preserve">Solo cuando Nicolás escriba la instrucción de publicar. Hasta entonces frilo.dev sigue sirviendo la app como hoy.</t>
  </si>
  <si>
    <t xml:space="preserve">Redirecciones y cambios al publicar</t>
  </si>
  <si>
    <t xml:space="preserve">Origen</t>
  </si>
  <si>
    <t xml:space="preserve">Destino</t>
  </si>
  <si>
    <t xml:space="preserve">frilo.dev/&lt;rutas actuales de la app&gt; (login, panel, ajustes, etc.)</t>
  </si>
  <si>
    <t xml:space="preserve">app.frilo.dev/&lt;misma ruta&gt; (301)</t>
  </si>
  <si>
    <t xml:space="preserve">Claude Code debe listar las rutas reales de la app antes de publicar. Ninguna debe chocar con las rutas del sitio (/calculadoras, /guias, /glosario, /dolar-hoy, /lp, /quienes-somos, /metodologia, /transparencia).</t>
  </si>
  <si>
    <t xml:space="preserve">Rutas actuales de Términos y Política de datos en la app</t>
  </si>
  <si>
    <t xml:space="preserve">frilo.dev/terminos y frilo.dev/politica-de-datos (301 si la ruta cambia)</t>
  </si>
  <si>
    <t xml:space="preserve">Las páginas legales pasan a servirse desde el sitio y la app enlaza a ellas.</t>
  </si>
  <si>
    <t xml:space="preserve">frilo.dev/&lt;ruta&gt;/ (con barra final)</t>
  </si>
  <si>
    <t xml:space="preserve">frilo.dev/&lt;ruta&gt; (301)</t>
  </si>
  <si>
    <t xml:space="preserve">Convención única sin barra final.</t>
  </si>
  <si>
    <t xml:space="preserve">/ahorro/cuentas-de-ahorro-rentables</t>
  </si>
  <si>
    <t xml:space="preserve">/guias/cuentas-de-ahorro-alto-rendimiento (301)</t>
  </si>
  <si>
    <t xml:space="preserve">Solo si llegó a publicarse.</t>
  </si>
  <si>
    <t xml:space="preserve">Supabase Auth: Site URL y Redirect URLs</t>
  </si>
  <si>
    <t xml:space="preserve">Agregar https://app.frilo.dev/** y https://frilo.dev/** (y las URL de vista previa durante las pruebas)</t>
  </si>
  <si>
    <t xml:space="preserve">Sin esto falla el inicio de sesión con código y con Google.</t>
  </si>
  <si>
    <t xml:space="preserve">Google Cloud: OAuth (orígenes y URI de redirección)</t>
  </si>
  <si>
    <t xml:space="preserve">Agregar app.frilo.dev y frilo.dev</t>
  </si>
  <si>
    <t xml:space="preserve">Mismo motivo.</t>
  </si>
  <si>
    <t xml:space="preserve">Correos de Resend y Vercel Cron</t>
  </si>
  <si>
    <t xml:space="preserve">Enlaces y endpoint /api/cron/recordatorios en app.frilo.dev</t>
  </si>
  <si>
    <t xml:space="preserve">El cron vive con la app.</t>
  </si>
  <si>
    <t xml:space="preserve">Archivos técnicos del sitio</t>
  </si>
  <si>
    <t xml:space="preserve">Contenido</t>
  </si>
  <si>
    <t xml:space="preserve">https://frilo.dev/robots.txt</t>
  </si>
  <si>
    <t xml:space="preserve">User-agent: * · Disallow: /lp/ · Disallow: /app/ · Disallow: /api/ · Sitemap: https://frilo.dev/sitemap.xml</t>
  </si>
  <si>
    <t xml:space="preserve">No bloquear GPTBot, ClaudeBot, PerplexityBot ni Google-Extended. En staging: Disallow: /.</t>
  </si>
  <si>
    <t xml:space="preserve">https://frilo.dev/sitemap.xml</t>
  </si>
  <si>
    <t xml:space="preserve">Las URLs con "Sí" en la columna "En sitemap" de la hoja URLs</t>
  </si>
  <si>
    <t xml:space="preserve">lastmod = fecha real de la última edición del contenido, no la del build.</t>
  </si>
  <si>
    <t xml:space="preserve">https://frilo.dev/llms.txt</t>
  </si>
  <si>
    <t xml:space="preserve">Una línea por página clave: título, URL y qué responde</t>
  </si>
  <si>
    <t xml:space="preserve">Parte de la estrategia GEO.</t>
  </si>
  <si>
    <t xml:space="preserve">https://frilo.dev/og/&lt;ruta&gt;.png</t>
  </si>
  <si>
    <t xml:space="preserve">Imagen 1200×630 por página con la F y el H1</t>
  </si>
  <si>
    <t xml:space="preserve">Generada con next/og.</t>
  </si>
  <si>
    <t xml:space="preserve">https://app.frilo.dev/robots.txt</t>
  </si>
  <si>
    <t xml:space="preserve">User-agent: * · Disallow: /</t>
  </si>
  <si>
    <t xml:space="preserve">Además de la cabecera X-Robots-Tag: noindex, nofollow.</t>
  </si>
  <si>
    <t xml:space="preserve">Supuesto</t>
  </si>
  <si>
    <t xml:space="preserve">Valor</t>
  </si>
  <si>
    <t xml:space="preserve">Fuente</t>
  </si>
  <si>
    <t xml:space="preserve">CTR posición 1</t>
  </si>
  <si>
    <t xml:space="preserve">First Page Sage, 'Google click-through rates by ranking position' (2026), tomado del Keyword research Frilo (v3), hoja Supuestos</t>
  </si>
  <si>
    <t xml:space="preserve">CTR posición 3</t>
  </si>
  <si>
    <t xml:space="preserve">CTR posición 10</t>
  </si>
  <si>
    <t xml:space="preserve">Promedios para SERP sin elementos especiales. En P07 (dólar hoy) el conversor de Google reduce los clics reales: tomar esa cifra como techo.</t>
  </si>
  <si>
    <t xml:space="preserve">Keyword</t>
  </si>
  <si>
    <t xml:space="preserve">Grupo temático</t>
  </si>
  <si>
    <t xml:space="preserve">ID página</t>
  </si>
  <si>
    <t xml:space="preserve">Rol en la página</t>
  </si>
  <si>
    <t xml:space="preserve">Intención</t>
  </si>
  <si>
    <t xml:space="preserve">Volumen/mes</t>
  </si>
  <si>
    <t xml:space="preserve">Aportes a seguridad social</t>
  </si>
  <si>
    <t xml:space="preserve">Principal</t>
  </si>
  <si>
    <t xml:space="preserve">Transaccional</t>
  </si>
  <si>
    <t xml:space="preserve">calculadora de aportes para independientes y contratistas</t>
  </si>
  <si>
    <t xml:space="preserve">Secundaria</t>
  </si>
  <si>
    <t xml:space="preserve">calculadora de aportes 2026</t>
  </si>
  <si>
    <t xml:space="preserve">calculadora de liquidacion aportes en linea</t>
  </si>
  <si>
    <t xml:space="preserve">calculadora de liquidacion planilla</t>
  </si>
  <si>
    <t xml:space="preserve">Soporte (H2/FAQ)</t>
  </si>
  <si>
    <t xml:space="preserve">calculadora de aportes como independiente</t>
  </si>
  <si>
    <t xml:space="preserve">calculadora de liquidacion aportes</t>
  </si>
  <si>
    <t xml:space="preserve">calculadora de aportes compensar</t>
  </si>
  <si>
    <t xml:space="preserve">Marca de terceros</t>
  </si>
  <si>
    <t xml:space="preserve">Navegacional</t>
  </si>
  <si>
    <t xml:space="preserve">calculadora de aportes mi planilla</t>
  </si>
  <si>
    <t xml:space="preserve">calculadora de aportes pago simple</t>
  </si>
  <si>
    <t xml:space="preserve">pago simple calculadora de aportes</t>
  </si>
  <si>
    <t xml:space="preserve">calculadora de aportes soi</t>
  </si>
  <si>
    <t xml:space="preserve">calculadora de aportes a seguridad social 2025</t>
  </si>
  <si>
    <t xml:space="preserve">Excluir</t>
  </si>
  <si>
    <t xml:space="preserve">IBC independientes</t>
  </si>
  <si>
    <t xml:space="preserve">Informativa</t>
  </si>
  <si>
    <t xml:space="preserve">calculadora ibc independientes</t>
  </si>
  <si>
    <t xml:space="preserve">como calcular el ibc para independientes 2026</t>
  </si>
  <si>
    <t xml:space="preserve">como cambiar el ibc en soi para independientes</t>
  </si>
  <si>
    <t xml:space="preserve">ibc seguridad social independientes</t>
  </si>
  <si>
    <t xml:space="preserve">como calcular el ibc para independientes 2025</t>
  </si>
  <si>
    <t xml:space="preserve">Cesantías</t>
  </si>
  <si>
    <t xml:space="preserve">intereses de cesantías 2026 calculadora</t>
  </si>
  <si>
    <t xml:space="preserve">calculadora de cesantías 2026</t>
  </si>
  <si>
    <t xml:space="preserve">calculadora de cesantías colombia</t>
  </si>
  <si>
    <t xml:space="preserve">calculadora de cesantías e intereses</t>
  </si>
  <si>
    <t xml:space="preserve">calculadora de interes de cesantías</t>
  </si>
  <si>
    <t xml:space="preserve">calculadora sanción moratoria por no pago de cesantías</t>
  </si>
  <si>
    <t xml:space="preserve">calculadora de cesantías porvenir</t>
  </si>
  <si>
    <t xml:space="preserve">calculadora intereses de cesantías 2022</t>
  </si>
  <si>
    <t xml:space="preserve">calculadora de cesantías 2024</t>
  </si>
  <si>
    <t xml:space="preserve">intereses de cesantías 2023 calculadora</t>
  </si>
  <si>
    <t xml:space="preserve">calculadora intereses de cesantías 2025 colombia</t>
  </si>
  <si>
    <t xml:space="preserve">intereses de cesantías 2021 calculadora</t>
  </si>
  <si>
    <t xml:space="preserve">calculadora de intereses de cesantías 2024 colombia</t>
  </si>
  <si>
    <t xml:space="preserve">calculadora intereses de cesantías 2024</t>
  </si>
  <si>
    <t xml:space="preserve">Planilla de seguridad social</t>
  </si>
  <si>
    <t xml:space="preserve">como descargar planilla de seguridad social</t>
  </si>
  <si>
    <t xml:space="preserve">como verificar una planilla de seguridad social</t>
  </si>
  <si>
    <t xml:space="preserve">planilla de seguridad social independiente</t>
  </si>
  <si>
    <t xml:space="preserve">precio dolar hoy colombia</t>
  </si>
  <si>
    <t xml:space="preserve">precio del dolar colombiano hoy</t>
  </si>
  <si>
    <t xml:space="preserve">valor del dolar hoy</t>
  </si>
  <si>
    <t xml:space="preserve">valor del dolar hoy colombia</t>
  </si>
  <si>
    <t xml:space="preserve">precio del dolar hoy</t>
  </si>
  <si>
    <t xml:space="preserve">dolar hoy precio</t>
  </si>
  <si>
    <t xml:space="preserve">valor dolar hoy</t>
  </si>
  <si>
    <t xml:space="preserve">el dolar hoy</t>
  </si>
  <si>
    <t xml:space="preserve">a como el dolar en colombia hoy</t>
  </si>
  <si>
    <t xml:space="preserve">Comercial</t>
  </si>
  <si>
    <t xml:space="preserve">cuenta en dolares</t>
  </si>
  <si>
    <t xml:space="preserve">cuenta de ahorros en dolares</t>
  </si>
  <si>
    <t xml:space="preserve">como abrir una cuenta en dolares en colombia</t>
  </si>
  <si>
    <t xml:space="preserve">abrir una cuenta en dolares en colombia</t>
  </si>
  <si>
    <t xml:space="preserve">abrir cuenta en dolares</t>
  </si>
  <si>
    <t xml:space="preserve">como abrir una cuenta en dolares</t>
  </si>
  <si>
    <t xml:space="preserve">cuenta bancaria en dolares</t>
  </si>
  <si>
    <t xml:space="preserve">cuenta bancaria en dolares en colombia</t>
  </si>
  <si>
    <t xml:space="preserve">beneficios de cuenta en dolares</t>
  </si>
  <si>
    <t xml:space="preserve">cuenta en dolares bancolombia</t>
  </si>
  <si>
    <t xml:space="preserve">cuenta de ahorros en dolares bancolombia</t>
  </si>
  <si>
    <t xml:space="preserve">cuenta en dolares davivienda panama</t>
  </si>
  <si>
    <t xml:space="preserve">Pagos en dólares</t>
  </si>
  <si>
    <t xml:space="preserve">Ahorro e interés compuesto</t>
  </si>
  <si>
    <t xml:space="preserve">simulador de ahorro</t>
  </si>
  <si>
    <t xml:space="preserve">calculadora de ahorro</t>
  </si>
  <si>
    <t xml:space="preserve">calcular intereses cuenta de ahorros</t>
  </si>
  <si>
    <t xml:space="preserve">Cuentas de ahorro</t>
  </si>
  <si>
    <t xml:space="preserve">cuenta de ahorros sin cuota de manejo</t>
  </si>
  <si>
    <t xml:space="preserve">mejores cuentas de ahorro colombia</t>
  </si>
  <si>
    <t xml:space="preserve">cuentas de ahorro con mayor rentabilidad</t>
  </si>
  <si>
    <t xml:space="preserve">bancos digitales colombia</t>
  </si>
  <si>
    <t xml:space="preserve">cuenta de ahorro rentable</t>
  </si>
  <si>
    <t xml:space="preserve">neobancos colombia</t>
  </si>
  <si>
    <t xml:space="preserve">cdt o cuenta de ahorros</t>
  </si>
  <si>
    <t xml:space="preserve">cuenta de ahorro vs cdt</t>
  </si>
  <si>
    <t xml:space="preserve">cuentas de ahorro con mayor rentabilidad colombia</t>
  </si>
  <si>
    <t xml:space="preserve">cuenta de ahorros que más paga</t>
  </si>
  <si>
    <t xml:space="preserve">cuentas de ahorro que más pagan en colombia</t>
  </si>
  <si>
    <t xml:space="preserve">cuenta de ahorros con rentabilidad diaria</t>
  </si>
  <si>
    <t xml:space="preserve">bancos que más pagan por ahorrar</t>
  </si>
  <si>
    <t xml:space="preserve">cuenta de ahorros exenta de 4x1000</t>
  </si>
  <si>
    <t xml:space="preserve">dónde ahorrar dinero en colombia</t>
  </si>
  <si>
    <t xml:space="preserve">dónde poner a rendir mi dinero</t>
  </si>
  <si>
    <t xml:space="preserve">bancos digitales están cubiertos por fogafín</t>
  </si>
  <si>
    <t xml:space="preserve">dónde ahorrar la prima</t>
  </si>
  <si>
    <t xml:space="preserve">qué hacer con la prima</t>
  </si>
  <si>
    <t xml:space="preserve">en qué invertir la prima</t>
  </si>
  <si>
    <t xml:space="preserve">lulo bank cuenta de ahorros</t>
  </si>
  <si>
    <t xml:space="preserve">lulo bank es seguro</t>
  </si>
  <si>
    <t xml:space="preserve">lulo bank tasa</t>
  </si>
  <si>
    <t xml:space="preserve">lulo bank vs nu</t>
  </si>
  <si>
    <t xml:space="preserve">nu colombia es seguro</t>
  </si>
  <si>
    <t xml:space="preserve">rappipay es confiable</t>
  </si>
  <si>
    <t xml:space="preserve">lulo bank rentabilidad</t>
  </si>
  <si>
    <t xml:space="preserve">rappicuenta rentabilidad</t>
  </si>
  <si>
    <t xml:space="preserve">rappipay tasa</t>
  </si>
  <si>
    <t xml:space="preserve">cajitas nu tasa</t>
  </si>
  <si>
    <t xml:space="preserve">nu colombia rentabilidad</t>
  </si>
  <si>
    <t xml:space="preserve">nu vs rappipay</t>
  </si>
  <si>
    <t xml:space="preserve">pibank tasa</t>
  </si>
  <si>
    <t xml:space="preserve">ualá colombia rendimiento</t>
  </si>
  <si>
    <t xml:space="preserve">global66 cuenta remunerada</t>
  </si>
  <si>
    <t xml:space="preserve">dónde guardar las cesantías</t>
  </si>
  <si>
    <t xml:space="preserve">Prima y cesantías</t>
  </si>
  <si>
    <t xml:space="preserve">qué hacer con las cesantías</t>
  </si>
</sst>
</file>

<file path=xl/styles.xml><?xml version="1.0" encoding="utf-8"?>
<styleSheet xmlns="http://schemas.openxmlformats.org/spreadsheetml/2006/main">
  <numFmts count="5">
    <numFmt numFmtId="164" formatCode="General"/>
    <numFmt numFmtId="165" formatCode="#,##0"/>
    <numFmt numFmtId="166" formatCode="General"/>
    <numFmt numFmtId="167" formatCode="yyyy\-mm\-dd"/>
    <numFmt numFmtId="168" formatCode="0.0%"/>
  </numFmts>
  <fonts count="13">
    <font>
      <sz val="11"/>
      <color theme="1"/>
      <name val="Calibri"/>
      <family val="2"/>
      <charset val="1"/>
    </font>
    <font>
      <sz val="10"/>
      <name val="Arial"/>
      <family val="0"/>
    </font>
    <font>
      <sz val="10"/>
      <name val="Arial"/>
      <family val="0"/>
    </font>
    <font>
      <sz val="10"/>
      <name val="Arial"/>
      <family val="0"/>
    </font>
    <font>
      <b val="true"/>
      <sz val="14"/>
      <color rgb="FF0F372D"/>
      <name val="Arial"/>
      <family val="0"/>
      <charset val="1"/>
    </font>
    <font>
      <sz val="10"/>
      <name val="Arial"/>
      <family val="0"/>
      <charset val="1"/>
    </font>
    <font>
      <b val="true"/>
      <sz val="11"/>
      <color rgb="FF0F372D"/>
      <name val="Arial"/>
      <family val="0"/>
      <charset val="1"/>
    </font>
    <font>
      <b val="true"/>
      <sz val="10"/>
      <color rgb="FFFFFFFF"/>
      <name val="Arial"/>
      <family val="0"/>
      <charset val="1"/>
    </font>
    <font>
      <i val="true"/>
      <sz val="9"/>
      <name val="Arial"/>
      <family val="0"/>
      <charset val="1"/>
    </font>
    <font>
      <sz val="10"/>
      <color rgb="FF008000"/>
      <name val="Arial"/>
      <family val="0"/>
      <charset val="1"/>
    </font>
    <font>
      <sz val="8"/>
      <name val="Courier New"/>
      <family val="0"/>
      <charset val="1"/>
    </font>
    <font>
      <b val="true"/>
      <sz val="10"/>
      <name val="Arial"/>
      <family val="0"/>
      <charset val="1"/>
    </font>
    <font>
      <sz val="10"/>
      <color rgb="FF0000FF"/>
      <name val="Arial"/>
      <family val="0"/>
      <charset val="1"/>
    </font>
  </fonts>
  <fills count="4">
    <fill>
      <patternFill patternType="none"/>
    </fill>
    <fill>
      <patternFill patternType="gray125"/>
    </fill>
    <fill>
      <patternFill patternType="solid">
        <fgColor rgb="FF0F372D"/>
        <bgColor rgb="FF333333"/>
      </patternFill>
    </fill>
    <fill>
      <patternFill patternType="solid">
        <fgColor rgb="FFFFF2CC"/>
        <bgColor rgb="FFFFFFFF"/>
      </patternFill>
    </fill>
  </fills>
  <borders count="3">
    <border diagonalUp="false" diagonalDown="false">
      <left/>
      <right/>
      <top/>
      <bottom/>
      <diagonal/>
    </border>
    <border diagonalUp="false" diagonalDown="false">
      <left style="thin">
        <color rgb="FFD6E0DA"/>
      </left>
      <right style="thin">
        <color rgb="FFD6E0DA"/>
      </right>
      <top style="thin">
        <color rgb="FFD6E0DA"/>
      </top>
      <bottom style="thin">
        <color rgb="FFD6E0DA"/>
      </bottom>
      <diagonal/>
    </border>
    <border diagonalUp="false" diagonalDown="false">
      <left style="thin">
        <color rgb="FFD6E0DA"/>
      </left>
      <right/>
      <top style="thin">
        <color rgb="FFD6E0DA"/>
      </top>
      <bottom style="thin">
        <color rgb="FFD6E0D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true" applyProtection="false">
      <alignment horizontal="general" vertical="top" textRotation="0" wrapText="true" indent="0" shrinkToFit="false"/>
      <protection locked="true" hidden="false"/>
    </xf>
    <xf numFmtId="167" fontId="12" fillId="3"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12" fillId="3" borderId="1"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F372D"/>
          <bgColor rgb="FF000000"/>
        </patternFill>
      </fill>
    </dxf>
    <dxf>
      <fill>
        <patternFill patternType="solid">
          <bgColor rgb="FF000000"/>
        </patternFill>
      </fill>
    </dxf>
    <dxf>
      <fill>
        <patternFill patternType="solid">
          <fgColor rgb="FFFFFFFF"/>
          <bgColor rgb="FF000000"/>
        </patternFill>
      </fill>
    </dxf>
    <dxf>
      <fill>
        <patternFill patternType="solid">
          <fgColor rgb="FFD9F2E1"/>
          <bgColor rgb="FF000000"/>
        </patternFill>
      </fill>
    </dxf>
    <dxf>
      <fill>
        <patternFill>
          <bgColor rgb="FFF8D7DA"/>
        </patternFill>
      </fill>
    </dxf>
    <dxf>
      <fill>
        <patternFill>
          <bgColor rgb="FFD9F2E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6E0DA"/>
      <rgbColor rgb="FF000080"/>
      <rgbColor rgb="FFFF00FF"/>
      <rgbColor rgb="FFFFFF00"/>
      <rgbColor rgb="FF00FFFF"/>
      <rgbColor rgb="FF800080"/>
      <rgbColor rgb="FF800000"/>
      <rgbColor rgb="FF008080"/>
      <rgbColor rgb="FF0000FF"/>
      <rgbColor rgb="FF00CCFF"/>
      <rgbColor rgb="FFCCFFFF"/>
      <rgbColor rgb="FFD9F2E1"/>
      <rgbColor rgb="FFFFFF99"/>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F372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17.35" hidden="false" customHeight="false" outlineLevel="0" collapsed="false">
      <c r="B1" s="1" t="s">
        <v>0</v>
      </c>
    </row>
    <row r="2" customFormat="false" ht="23.85" hidden="false" customHeight="false" outlineLevel="0" collapsed="false">
      <c r="B2" s="2" t="s">
        <v>1</v>
      </c>
    </row>
    <row r="3" customFormat="false" ht="15" hidden="false" customHeight="false" outlineLevel="0" collapsed="false">
      <c r="B3" s="3" t="s">
        <v>2</v>
      </c>
    </row>
    <row r="4" customFormat="false" ht="23.85" hidden="false" customHeight="false" outlineLevel="0" collapsed="false">
      <c r="B4" s="2" t="s">
        <v>3</v>
      </c>
    </row>
    <row r="5" customFormat="false" ht="15" hidden="false" customHeight="false" outlineLevel="0" collapsed="false">
      <c r="B5" s="3" t="s">
        <v>4</v>
      </c>
    </row>
    <row r="6" customFormat="false" ht="23.85" hidden="false" customHeight="false" outlineLevel="0" collapsed="false">
      <c r="B6" s="2" t="s">
        <v>5</v>
      </c>
    </row>
    <row r="7" customFormat="false" ht="23.85" hidden="false" customHeight="false" outlineLevel="0" collapsed="false">
      <c r="B7" s="2" t="s">
        <v>6</v>
      </c>
    </row>
    <row r="8" customFormat="false" ht="15" hidden="false" customHeight="false" outlineLevel="0" collapsed="false">
      <c r="B8" s="2" t="s">
        <v>7</v>
      </c>
    </row>
    <row r="9" customFormat="false" ht="23.85" hidden="false" customHeight="false" outlineLevel="0" collapsed="false">
      <c r="B9" s="2" t="s">
        <v>8</v>
      </c>
    </row>
    <row r="10" customFormat="false" ht="15" hidden="false" customHeight="false" outlineLevel="0" collapsed="false">
      <c r="B10" s="2" t="s">
        <v>9</v>
      </c>
    </row>
    <row r="11" customFormat="false" ht="15" hidden="false" customHeight="false" outlineLevel="0" collapsed="false">
      <c r="B11" s="2" t="s">
        <v>10</v>
      </c>
    </row>
    <row r="12" customFormat="false" ht="15" hidden="false" customHeight="false" outlineLevel="0" collapsed="false">
      <c r="B12" s="3" t="s">
        <v>11</v>
      </c>
    </row>
    <row r="13" customFormat="false" ht="35.05" hidden="false" customHeight="false" outlineLevel="0" collapsed="false">
      <c r="B13" s="2" t="s">
        <v>12</v>
      </c>
    </row>
    <row r="14" customFormat="false" ht="15" hidden="false" customHeight="false" outlineLevel="0" collapsed="false">
      <c r="B14" s="3" t="s">
        <v>13</v>
      </c>
    </row>
    <row r="15" customFormat="false" ht="23.85" hidden="false" customHeight="false" outlineLevel="0" collapsed="false">
      <c r="B15" s="2" t="s">
        <v>14</v>
      </c>
    </row>
    <row r="16" customFormat="false" ht="15" hidden="false" customHeight="false" outlineLevel="0" collapsed="false">
      <c r="B16" s="3" t="s">
        <v>15</v>
      </c>
    </row>
    <row r="17" customFormat="false" ht="35.05" hidden="false" customHeight="false" outlineLevel="0" collapsed="false">
      <c r="B17"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46"/>
    <col collapsed="false" customWidth="true" hidden="false" outlineLevel="0" max="4" min="4" style="0" width="34"/>
    <col collapsed="false" customWidth="true" hidden="false" outlineLevel="0" max="5" min="5" style="0" width="16"/>
    <col collapsed="false" customWidth="true" hidden="false" outlineLevel="0" max="6" min="6" style="0" width="24"/>
    <col collapsed="false" customWidth="true" hidden="false" outlineLevel="0" max="7" min="7" style="0" width="18"/>
    <col collapsed="false" customWidth="true" hidden="false" outlineLevel="0" max="8" min="8" style="0" width="20"/>
    <col collapsed="false" customWidth="true" hidden="false" outlineLevel="0" max="9" min="9" style="0" width="10"/>
    <col collapsed="false" customWidth="true" hidden="false" outlineLevel="0" max="10" min="10" style="0" width="46"/>
    <col collapsed="false" customWidth="true" hidden="false" outlineLevel="0" max="11" min="11" style="0" width="12"/>
    <col collapsed="false" customWidth="true" hidden="false" outlineLevel="0" max="12" min="12" style="0" width="34"/>
    <col collapsed="false" customWidth="true" hidden="false" outlineLevel="0" max="13" min="13" style="0" width="30"/>
    <col collapsed="false" customWidth="true" hidden="false" outlineLevel="0" max="14" min="14" style="0" width="12"/>
    <col collapsed="false" customWidth="true" hidden="false" outlineLevel="0" max="15" min="15" style="0" width="7"/>
    <col collapsed="false" customWidth="true" hidden="false" outlineLevel="0" max="16" min="16" style="0" width="16"/>
    <col collapsed="false" customWidth="true" hidden="false" outlineLevel="0" max="17" min="17" style="0" width="50"/>
    <col collapsed="false" customWidth="true" hidden="false" outlineLevel="0" max="18" min="18" style="0" width="52"/>
    <col collapsed="false" customWidth="true" hidden="false" outlineLevel="0" max="19" min="19" style="0" width="8"/>
    <col collapsed="false" customWidth="true" hidden="false" outlineLevel="0" max="20" min="20" style="0" width="60"/>
    <col collapsed="false" customWidth="true" hidden="false" outlineLevel="0" max="21" min="21" style="0" width="8"/>
    <col collapsed="false" customWidth="true" hidden="false" outlineLevel="0" max="22" min="22" style="0" width="48"/>
    <col collapsed="false" customWidth="true" hidden="false" outlineLevel="0" max="23" min="23" style="0" width="10"/>
    <col collapsed="false" customWidth="true" hidden="false" outlineLevel="0" max="25" min="24" style="0" width="34"/>
    <col collapsed="false" customWidth="true" hidden="false" outlineLevel="0" max="26" min="26" style="0" width="24"/>
    <col collapsed="false" customWidth="true" hidden="false" outlineLevel="0" max="27" min="27" style="0" width="60"/>
  </cols>
  <sheetData>
    <row r="1" customFormat="false" ht="31.5" hidden="false" customHeight="true" outlineLevel="0" collapsed="false">
      <c r="A1" s="4" t="s">
        <v>17</v>
      </c>
      <c r="B1" s="4" t="s">
        <v>18</v>
      </c>
      <c r="C1" s="4" t="s">
        <v>19</v>
      </c>
      <c r="D1" s="4" t="s">
        <v>20</v>
      </c>
      <c r="E1" s="4" t="s">
        <v>21</v>
      </c>
      <c r="F1" s="4" t="s">
        <v>22</v>
      </c>
      <c r="G1" s="4" t="s">
        <v>23</v>
      </c>
      <c r="H1" s="4" t="s">
        <v>24</v>
      </c>
      <c r="I1" s="4" t="s">
        <v>25</v>
      </c>
      <c r="J1" s="4" t="s">
        <v>26</v>
      </c>
      <c r="K1" s="4" t="s">
        <v>27</v>
      </c>
      <c r="L1" s="4" t="s">
        <v>28</v>
      </c>
      <c r="M1" s="4" t="s">
        <v>29</v>
      </c>
      <c r="N1" s="4" t="s">
        <v>30</v>
      </c>
      <c r="O1" s="4" t="s">
        <v>31</v>
      </c>
      <c r="P1" s="4" t="s">
        <v>32</v>
      </c>
      <c r="Q1" s="4" t="s">
        <v>33</v>
      </c>
      <c r="R1" s="4" t="s">
        <v>34</v>
      </c>
      <c r="S1" s="4" t="s">
        <v>35</v>
      </c>
      <c r="T1" s="4" t="s">
        <v>36</v>
      </c>
      <c r="U1" s="4" t="s">
        <v>37</v>
      </c>
      <c r="V1" s="4" t="s">
        <v>38</v>
      </c>
      <c r="W1" s="4" t="s">
        <v>39</v>
      </c>
      <c r="X1" s="4" t="s">
        <v>40</v>
      </c>
      <c r="Y1" s="4" t="s">
        <v>41</v>
      </c>
      <c r="Z1" s="4" t="s">
        <v>42</v>
      </c>
      <c r="AA1" s="4" t="s">
        <v>43</v>
      </c>
    </row>
    <row r="2" customFormat="false" ht="75" hidden="false" customHeight="true" outlineLevel="0" collapsed="false">
      <c r="A2" s="5" t="s">
        <v>44</v>
      </c>
      <c r="B2" s="5" t="s">
        <v>45</v>
      </c>
      <c r="C2" s="5" t="s">
        <v>46</v>
      </c>
      <c r="D2" s="5" t="s">
        <v>47</v>
      </c>
      <c r="E2" s="5" t="s">
        <v>44</v>
      </c>
      <c r="F2" s="5" t="s">
        <v>48</v>
      </c>
      <c r="G2" s="5" t="s">
        <v>49</v>
      </c>
      <c r="H2" s="5" t="s">
        <v>50</v>
      </c>
      <c r="I2" s="5" t="s">
        <v>51</v>
      </c>
      <c r="J2" s="5" t="s">
        <v>46</v>
      </c>
      <c r="K2" s="5" t="s">
        <v>52</v>
      </c>
      <c r="L2" s="5" t="s">
        <v>53</v>
      </c>
      <c r="M2" s="5" t="s">
        <v>54</v>
      </c>
      <c r="N2" s="6" t="str">
        <f aca="false">IFERROR(INDEX(Keywords!$F$2:$F$107,MATCH(L2,Keywords!$A$2:$A$107,0)),"s/d")</f>
        <v>s/d</v>
      </c>
      <c r="O2" s="5" t="str">
        <f aca="false">IFERROR(IF(INDEX(Keywords!$G$2:$G$107,MATCH(L2,Keywords!$A$2:$A$107,0))="","s/d",INDEX(Keywords!$G$2:$G$107,MATCH(L2,Keywords!$A$2:$A$107,0))),"s/d")</f>
        <v>s/d</v>
      </c>
      <c r="P2" s="6" t="n">
        <f aca="false">SUMIFS(Keywords!$F$2:$F$107,Keywords!$C$2:$C$107,A2,Keywords!$D$2:$D$107,"Principal")+SUMIFS(Keywords!$F$2:$F$107,Keywords!$C$2:$C$107,A2,Keywords!$D$2:$D$107,"Secundaria")+SUMIFS(Keywords!$F$2:$F$107,Keywords!$C$2:$C$107,A2,Keywords!$D$2:$D$107,"Soporte (H2/FAQ)")</f>
        <v>0</v>
      </c>
      <c r="Q2" s="5" t="s">
        <v>55</v>
      </c>
      <c r="R2" s="5" t="s">
        <v>56</v>
      </c>
      <c r="S2" s="7" t="n">
        <f aca="false">LEN(R2)</f>
        <v>62</v>
      </c>
      <c r="T2" s="5" t="s">
        <v>57</v>
      </c>
      <c r="U2" s="7" t="n">
        <f aca="false">IF(LEFT(T2,1)="(","",LEN(T2))</f>
        <v>132</v>
      </c>
      <c r="V2" s="5" t="s">
        <v>58</v>
      </c>
      <c r="W2" s="5" t="s">
        <v>59</v>
      </c>
      <c r="X2" s="5" t="s">
        <v>60</v>
      </c>
      <c r="Y2" s="5" t="s">
        <v>61</v>
      </c>
      <c r="Z2" s="5" t="s">
        <v>62</v>
      </c>
      <c r="AA2" s="5" t="s">
        <v>63</v>
      </c>
    </row>
    <row r="3" customFormat="false" ht="75" hidden="false" customHeight="true" outlineLevel="0" collapsed="false">
      <c r="A3" s="5" t="s">
        <v>64</v>
      </c>
      <c r="B3" s="5" t="s">
        <v>65</v>
      </c>
      <c r="C3" s="5" t="s">
        <v>66</v>
      </c>
      <c r="D3" s="5" t="s">
        <v>67</v>
      </c>
      <c r="E3" s="5" t="s">
        <v>68</v>
      </c>
      <c r="F3" s="5" t="s">
        <v>69</v>
      </c>
      <c r="G3" s="5" t="s">
        <v>49</v>
      </c>
      <c r="H3" s="5" t="s">
        <v>50</v>
      </c>
      <c r="I3" s="5" t="s">
        <v>51</v>
      </c>
      <c r="J3" s="5" t="s">
        <v>66</v>
      </c>
      <c r="K3" s="5" t="s">
        <v>70</v>
      </c>
      <c r="L3" s="5" t="s">
        <v>71</v>
      </c>
      <c r="M3" s="5" t="s">
        <v>72</v>
      </c>
      <c r="N3" s="6" t="str">
        <f aca="false">IFERROR(INDEX(Keywords!$F$2:$F$107,MATCH(L3,Keywords!$A$2:$A$107,0)),"s/d")</f>
        <v>s/d</v>
      </c>
      <c r="O3" s="5" t="str">
        <f aca="false">IFERROR(IF(INDEX(Keywords!$G$2:$G$107,MATCH(L3,Keywords!$A$2:$A$107,0))="","s/d",INDEX(Keywords!$G$2:$G$107,MATCH(L3,Keywords!$A$2:$A$107,0))),"s/d")</f>
        <v>s/d</v>
      </c>
      <c r="P3" s="6" t="n">
        <f aca="false">SUMIFS(Keywords!$F$2:$F$107,Keywords!$C$2:$C$107,A3,Keywords!$D$2:$D$107,"Principal")+SUMIFS(Keywords!$F$2:$F$107,Keywords!$C$2:$C$107,A3,Keywords!$D$2:$D$107,"Secundaria")+SUMIFS(Keywords!$F$2:$F$107,Keywords!$C$2:$C$107,A3,Keywords!$D$2:$D$107,"Soporte (H2/FAQ)")</f>
        <v>0</v>
      </c>
      <c r="Q3" s="5" t="s">
        <v>73</v>
      </c>
      <c r="R3" s="5" t="s">
        <v>74</v>
      </c>
      <c r="S3" s="7" t="n">
        <f aca="false">LEN(R3)</f>
        <v>55</v>
      </c>
      <c r="T3" s="5" t="s">
        <v>75</v>
      </c>
      <c r="U3" s="7" t="n">
        <f aca="false">IF(LEFT(T3,1)="(","",LEN(T3))</f>
        <v>140</v>
      </c>
      <c r="V3" s="5" t="s">
        <v>76</v>
      </c>
      <c r="W3" s="5" t="s">
        <v>59</v>
      </c>
      <c r="X3" s="5" t="s">
        <v>77</v>
      </c>
      <c r="Y3" s="5" t="s">
        <v>78</v>
      </c>
      <c r="Z3" s="5" t="s">
        <v>79</v>
      </c>
      <c r="AA3" s="5" t="s">
        <v>80</v>
      </c>
    </row>
    <row r="4" customFormat="false" ht="75" hidden="false" customHeight="true" outlineLevel="0" collapsed="false">
      <c r="A4" s="5" t="s">
        <v>81</v>
      </c>
      <c r="B4" s="5" t="s">
        <v>82</v>
      </c>
      <c r="C4" s="5" t="s">
        <v>83</v>
      </c>
      <c r="D4" s="5" t="s">
        <v>84</v>
      </c>
      <c r="E4" s="5" t="s">
        <v>85</v>
      </c>
      <c r="F4" s="5" t="s">
        <v>86</v>
      </c>
      <c r="G4" s="5" t="s">
        <v>49</v>
      </c>
      <c r="H4" s="5" t="s">
        <v>50</v>
      </c>
      <c r="I4" s="5" t="s">
        <v>51</v>
      </c>
      <c r="J4" s="5" t="s">
        <v>83</v>
      </c>
      <c r="K4" s="5" t="s">
        <v>52</v>
      </c>
      <c r="L4" s="5" t="s">
        <v>87</v>
      </c>
      <c r="M4" s="5" t="s">
        <v>72</v>
      </c>
      <c r="N4" s="6" t="n">
        <f aca="false">IFERROR(INDEX(Keywords!$F$2:$F$107,MATCH(L4,Keywords!$A$2:$A$107,0)),"s/d")</f>
        <v>2400</v>
      </c>
      <c r="O4" s="5" t="n">
        <f aca="false">IFERROR(IF(INDEX(Keywords!$G$2:$G$107,MATCH(L4,Keywords!$A$2:$A$107,0))="","s/d",INDEX(Keywords!$G$2:$G$107,MATCH(L4,Keywords!$A$2:$A$107,0))),"s/d")</f>
        <v>0</v>
      </c>
      <c r="P4" s="6" t="n">
        <f aca="false">SUMIFS(Keywords!$F$2:$F$107,Keywords!$C$2:$C$107,A4,Keywords!$D$2:$D$107,"Principal")+SUMIFS(Keywords!$F$2:$F$107,Keywords!$C$2:$C$107,A4,Keywords!$D$2:$D$107,"Secundaria")+SUMIFS(Keywords!$F$2:$F$107,Keywords!$C$2:$C$107,A4,Keywords!$D$2:$D$107,"Soporte (H2/FAQ)")</f>
        <v>2580</v>
      </c>
      <c r="Q4" s="5" t="s">
        <v>88</v>
      </c>
      <c r="R4" s="5" t="s">
        <v>89</v>
      </c>
      <c r="S4" s="7" t="n">
        <f aca="false">LEN(R4)</f>
        <v>55</v>
      </c>
      <c r="T4" s="5" t="s">
        <v>90</v>
      </c>
      <c r="U4" s="7" t="n">
        <f aca="false">IF(LEFT(T4,1)="(","",LEN(T4))</f>
        <v>131</v>
      </c>
      <c r="V4" s="5" t="s">
        <v>91</v>
      </c>
      <c r="W4" s="5" t="s">
        <v>59</v>
      </c>
      <c r="X4" s="5" t="s">
        <v>92</v>
      </c>
      <c r="Y4" s="5" t="s">
        <v>93</v>
      </c>
      <c r="Z4" s="5" t="s">
        <v>94</v>
      </c>
      <c r="AA4" s="5" t="s">
        <v>95</v>
      </c>
    </row>
    <row r="5" customFormat="false" ht="75" hidden="false" customHeight="true" outlineLevel="0" collapsed="false">
      <c r="A5" s="5" t="s">
        <v>96</v>
      </c>
      <c r="B5" s="5" t="s">
        <v>97</v>
      </c>
      <c r="C5" s="5" t="s">
        <v>98</v>
      </c>
      <c r="D5" s="5" t="s">
        <v>99</v>
      </c>
      <c r="E5" s="5" t="s">
        <v>100</v>
      </c>
      <c r="F5" s="5" t="s">
        <v>101</v>
      </c>
      <c r="G5" s="5" t="s">
        <v>49</v>
      </c>
      <c r="H5" s="5" t="s">
        <v>50</v>
      </c>
      <c r="I5" s="5" t="s">
        <v>51</v>
      </c>
      <c r="J5" s="5" t="s">
        <v>98</v>
      </c>
      <c r="K5" s="5" t="s">
        <v>70</v>
      </c>
      <c r="L5" s="5" t="s">
        <v>102</v>
      </c>
      <c r="M5" s="5" t="s">
        <v>72</v>
      </c>
      <c r="N5" s="6" t="n">
        <f aca="false">IFERROR(INDEX(Keywords!$F$2:$F$107,MATCH(L5,Keywords!$A$2:$A$107,0)),"s/d")</f>
        <v>90</v>
      </c>
      <c r="O5" s="5" t="n">
        <f aca="false">IFERROR(IF(INDEX(Keywords!$G$2:$G$107,MATCH(L5,Keywords!$A$2:$A$107,0))="","s/d",INDEX(Keywords!$G$2:$G$107,MATCH(L5,Keywords!$A$2:$A$107,0))),"s/d")</f>
        <v>0</v>
      </c>
      <c r="P5" s="6" t="n">
        <f aca="false">SUMIFS(Keywords!$F$2:$F$107,Keywords!$C$2:$C$107,A5,Keywords!$D$2:$D$107,"Principal")+SUMIFS(Keywords!$F$2:$F$107,Keywords!$C$2:$C$107,A5,Keywords!$D$2:$D$107,"Secundaria")+SUMIFS(Keywords!$F$2:$F$107,Keywords!$C$2:$C$107,A5,Keywords!$D$2:$D$107,"Soporte (H2/FAQ)")</f>
        <v>340</v>
      </c>
      <c r="Q5" s="5" t="s">
        <v>103</v>
      </c>
      <c r="R5" s="5" t="s">
        <v>104</v>
      </c>
      <c r="S5" s="7" t="n">
        <f aca="false">LEN(R5)</f>
        <v>62</v>
      </c>
      <c r="T5" s="5" t="s">
        <v>105</v>
      </c>
      <c r="U5" s="7" t="n">
        <f aca="false">IF(LEFT(T5,1)="(","",LEN(T5))</f>
        <v>134</v>
      </c>
      <c r="V5" s="5" t="s">
        <v>106</v>
      </c>
      <c r="W5" s="5" t="s">
        <v>107</v>
      </c>
      <c r="X5" s="5" t="s">
        <v>108</v>
      </c>
      <c r="Y5" s="5" t="s">
        <v>109</v>
      </c>
      <c r="Z5" s="5" t="s">
        <v>110</v>
      </c>
      <c r="AA5" s="5" t="s">
        <v>111</v>
      </c>
    </row>
    <row r="6" customFormat="false" ht="75" hidden="false" customHeight="true" outlineLevel="0" collapsed="false">
      <c r="A6" s="5" t="s">
        <v>112</v>
      </c>
      <c r="B6" s="5" t="s">
        <v>113</v>
      </c>
      <c r="C6" s="5" t="s">
        <v>114</v>
      </c>
      <c r="D6" s="5" t="s">
        <v>115</v>
      </c>
      <c r="E6" s="5" t="s">
        <v>85</v>
      </c>
      <c r="F6" s="5" t="s">
        <v>116</v>
      </c>
      <c r="G6" s="5" t="s">
        <v>49</v>
      </c>
      <c r="H6" s="5" t="s">
        <v>50</v>
      </c>
      <c r="I6" s="5" t="s">
        <v>51</v>
      </c>
      <c r="J6" s="5" t="s">
        <v>114</v>
      </c>
      <c r="K6" s="5" t="s">
        <v>52</v>
      </c>
      <c r="L6" s="5" t="s">
        <v>117</v>
      </c>
      <c r="M6" s="5" t="s">
        <v>118</v>
      </c>
      <c r="N6" s="6" t="n">
        <f aca="false">IFERROR(INDEX(Keywords!$F$2:$F$107,MATCH(L6,Keywords!$A$2:$A$107,0)),"s/d")</f>
        <v>880</v>
      </c>
      <c r="O6" s="5" t="n">
        <f aca="false">IFERROR(IF(INDEX(Keywords!$G$2:$G$107,MATCH(L6,Keywords!$A$2:$A$107,0))="","s/d",INDEX(Keywords!$G$2:$G$107,MATCH(L6,Keywords!$A$2:$A$107,0))),"s/d")</f>
        <v>0</v>
      </c>
      <c r="P6" s="6" t="n">
        <f aca="false">SUMIFS(Keywords!$F$2:$F$107,Keywords!$C$2:$C$107,A6,Keywords!$D$2:$D$107,"Principal")+SUMIFS(Keywords!$F$2:$F$107,Keywords!$C$2:$C$107,A6,Keywords!$D$2:$D$107,"Secundaria")+SUMIFS(Keywords!$F$2:$F$107,Keywords!$C$2:$C$107,A6,Keywords!$D$2:$D$107,"Soporte (H2/FAQ)")</f>
        <v>1130</v>
      </c>
      <c r="Q6" s="5" t="s">
        <v>119</v>
      </c>
      <c r="R6" s="5" t="s">
        <v>120</v>
      </c>
      <c r="S6" s="7" t="n">
        <f aca="false">LEN(R6)</f>
        <v>62</v>
      </c>
      <c r="T6" s="5" t="s">
        <v>121</v>
      </c>
      <c r="U6" s="7" t="n">
        <f aca="false">IF(LEFT(T6,1)="(","",LEN(T6))</f>
        <v>136</v>
      </c>
      <c r="V6" s="5" t="s">
        <v>122</v>
      </c>
      <c r="W6" s="5" t="s">
        <v>59</v>
      </c>
      <c r="X6" s="5" t="s">
        <v>92</v>
      </c>
      <c r="Y6" s="5" t="s">
        <v>123</v>
      </c>
      <c r="Z6" s="5" t="s">
        <v>110</v>
      </c>
      <c r="AA6" s="5" t="s">
        <v>124</v>
      </c>
    </row>
    <row r="7" customFormat="false" ht="75" hidden="false" customHeight="true" outlineLevel="0" collapsed="false">
      <c r="A7" s="5" t="s">
        <v>125</v>
      </c>
      <c r="B7" s="5" t="s">
        <v>126</v>
      </c>
      <c r="C7" s="5" t="s">
        <v>127</v>
      </c>
      <c r="D7" s="5" t="s">
        <v>128</v>
      </c>
      <c r="E7" s="5" t="s">
        <v>100</v>
      </c>
      <c r="F7" s="5" t="s">
        <v>129</v>
      </c>
      <c r="G7" s="5" t="s">
        <v>49</v>
      </c>
      <c r="H7" s="5" t="s">
        <v>50</v>
      </c>
      <c r="I7" s="5" t="s">
        <v>51</v>
      </c>
      <c r="J7" s="5" t="s">
        <v>127</v>
      </c>
      <c r="K7" s="5" t="s">
        <v>52</v>
      </c>
      <c r="L7" s="5" t="s">
        <v>130</v>
      </c>
      <c r="M7" s="5" t="s">
        <v>131</v>
      </c>
      <c r="N7" s="6" t="n">
        <f aca="false">IFERROR(INDEX(Keywords!$F$2:$F$107,MATCH(L7,Keywords!$A$2:$A$107,0)),"s/d")</f>
        <v>1300</v>
      </c>
      <c r="O7" s="5" t="n">
        <f aca="false">IFERROR(IF(INDEX(Keywords!$G$2:$G$107,MATCH(L7,Keywords!$A$2:$A$107,0))="","s/d",INDEX(Keywords!$G$2:$G$107,MATCH(L7,Keywords!$A$2:$A$107,0))),"s/d")</f>
        <v>0</v>
      </c>
      <c r="P7" s="6" t="n">
        <f aca="false">SUMIFS(Keywords!$F$2:$F$107,Keywords!$C$2:$C$107,A7,Keywords!$D$2:$D$107,"Principal")+SUMIFS(Keywords!$F$2:$F$107,Keywords!$C$2:$C$107,A7,Keywords!$D$2:$D$107,"Secundaria")+SUMIFS(Keywords!$F$2:$F$107,Keywords!$C$2:$C$107,A7,Keywords!$D$2:$D$107,"Soporte (H2/FAQ)")</f>
        <v>2110</v>
      </c>
      <c r="Q7" s="5" t="s">
        <v>132</v>
      </c>
      <c r="R7" s="5" t="s">
        <v>133</v>
      </c>
      <c r="S7" s="7" t="n">
        <f aca="false">LEN(R7)</f>
        <v>59</v>
      </c>
      <c r="T7" s="5" t="s">
        <v>134</v>
      </c>
      <c r="U7" s="7" t="n">
        <f aca="false">IF(LEFT(T7,1)="(","",LEN(T7))</f>
        <v>133</v>
      </c>
      <c r="V7" s="5" t="s">
        <v>135</v>
      </c>
      <c r="W7" s="5" t="s">
        <v>107</v>
      </c>
      <c r="X7" s="5" t="s">
        <v>108</v>
      </c>
      <c r="Y7" s="5" t="s">
        <v>136</v>
      </c>
      <c r="Z7" s="5" t="s">
        <v>137</v>
      </c>
      <c r="AA7" s="5" t="s">
        <v>138</v>
      </c>
    </row>
    <row r="8" customFormat="false" ht="75" hidden="false" customHeight="true" outlineLevel="0" collapsed="false">
      <c r="A8" s="5" t="s">
        <v>139</v>
      </c>
      <c r="B8" s="5" t="s">
        <v>140</v>
      </c>
      <c r="C8" s="5" t="s">
        <v>141</v>
      </c>
      <c r="D8" s="5" t="s">
        <v>142</v>
      </c>
      <c r="E8" s="5" t="s">
        <v>85</v>
      </c>
      <c r="F8" s="5" t="s">
        <v>143</v>
      </c>
      <c r="G8" s="5" t="s">
        <v>49</v>
      </c>
      <c r="H8" s="5" t="s">
        <v>50</v>
      </c>
      <c r="I8" s="5" t="s">
        <v>51</v>
      </c>
      <c r="J8" s="5" t="s">
        <v>141</v>
      </c>
      <c r="K8" s="5" t="s">
        <v>70</v>
      </c>
      <c r="L8" s="5" t="s">
        <v>144</v>
      </c>
      <c r="M8" s="5" t="s">
        <v>145</v>
      </c>
      <c r="N8" s="6" t="n">
        <f aca="false">IFERROR(INDEX(Keywords!$F$2:$F$107,MATCH(L8,Keywords!$A$2:$A$107,0)),"s/d")</f>
        <v>320</v>
      </c>
      <c r="O8" s="5" t="n">
        <f aca="false">IFERROR(IF(INDEX(Keywords!$G$2:$G$107,MATCH(L8,Keywords!$A$2:$A$107,0))="","s/d",INDEX(Keywords!$G$2:$G$107,MATCH(L8,Keywords!$A$2:$A$107,0))),"s/d")</f>
        <v>0</v>
      </c>
      <c r="P8" s="6" t="n">
        <f aca="false">SUMIFS(Keywords!$F$2:$F$107,Keywords!$C$2:$C$107,A8,Keywords!$D$2:$D$107,"Principal")+SUMIFS(Keywords!$F$2:$F$107,Keywords!$C$2:$C$107,A8,Keywords!$D$2:$D$107,"Secundaria")+SUMIFS(Keywords!$F$2:$F$107,Keywords!$C$2:$C$107,A8,Keywords!$D$2:$D$107,"Soporte (H2/FAQ)")</f>
        <v>320</v>
      </c>
      <c r="Q8" s="5" t="s">
        <v>61</v>
      </c>
      <c r="R8" s="5" t="s">
        <v>146</v>
      </c>
      <c r="S8" s="7" t="n">
        <f aca="false">LEN(R8)</f>
        <v>62</v>
      </c>
      <c r="T8" s="5" t="s">
        <v>147</v>
      </c>
      <c r="U8" s="7" t="n">
        <f aca="false">IF(LEFT(T8,1)="(","",LEN(T8))</f>
        <v>139</v>
      </c>
      <c r="V8" s="5" t="s">
        <v>148</v>
      </c>
      <c r="W8" s="5" t="s">
        <v>59</v>
      </c>
      <c r="X8" s="5" t="s">
        <v>92</v>
      </c>
      <c r="Y8" s="5" t="s">
        <v>149</v>
      </c>
      <c r="Z8" s="5" t="s">
        <v>150</v>
      </c>
      <c r="AA8" s="5" t="s">
        <v>151</v>
      </c>
    </row>
    <row r="9" customFormat="false" ht="75" hidden="false" customHeight="true" outlineLevel="0" collapsed="false">
      <c r="A9" s="5" t="s">
        <v>152</v>
      </c>
      <c r="B9" s="5" t="s">
        <v>153</v>
      </c>
      <c r="C9" s="5" t="s">
        <v>154</v>
      </c>
      <c r="D9" s="5" t="s">
        <v>155</v>
      </c>
      <c r="E9" s="5" t="s">
        <v>156</v>
      </c>
      <c r="F9" s="5" t="s">
        <v>157</v>
      </c>
      <c r="G9" s="5" t="s">
        <v>158</v>
      </c>
      <c r="H9" s="5" t="s">
        <v>50</v>
      </c>
      <c r="I9" s="5" t="s">
        <v>51</v>
      </c>
      <c r="J9" s="5" t="s">
        <v>154</v>
      </c>
      <c r="K9" s="5" t="s">
        <v>159</v>
      </c>
      <c r="L9" s="5" t="s">
        <v>160</v>
      </c>
      <c r="M9" s="5" t="s">
        <v>161</v>
      </c>
      <c r="N9" s="6" t="n">
        <f aca="false">IFERROR(INDEX(Keywords!$F$2:$F$107,MATCH(L9,Keywords!$A$2:$A$107,0)),"s/d")</f>
        <v>210</v>
      </c>
      <c r="O9" s="5" t="n">
        <f aca="false">IFERROR(IF(INDEX(Keywords!$G$2:$G$107,MATCH(L9,Keywords!$A$2:$A$107,0))="","s/d",INDEX(Keywords!$G$2:$G$107,MATCH(L9,Keywords!$A$2:$A$107,0))),"s/d")</f>
        <v>0</v>
      </c>
      <c r="P9" s="6" t="n">
        <f aca="false">SUMIFS(Keywords!$F$2:$F$107,Keywords!$C$2:$C$107,A9,Keywords!$D$2:$D$107,"Principal")+SUMIFS(Keywords!$F$2:$F$107,Keywords!$C$2:$C$107,A9,Keywords!$D$2:$D$107,"Secundaria")+SUMIFS(Keywords!$F$2:$F$107,Keywords!$C$2:$C$107,A9,Keywords!$D$2:$D$107,"Soporte (H2/FAQ)")</f>
        <v>210</v>
      </c>
      <c r="Q9" s="5" t="s">
        <v>61</v>
      </c>
      <c r="R9" s="5" t="s">
        <v>162</v>
      </c>
      <c r="S9" s="7" t="n">
        <f aca="false">LEN(R9)</f>
        <v>60</v>
      </c>
      <c r="T9" s="5" t="s">
        <v>163</v>
      </c>
      <c r="U9" s="7" t="n">
        <f aca="false">IF(LEFT(T9,1)="(","",LEN(T9))</f>
        <v>123</v>
      </c>
      <c r="V9" s="5" t="s">
        <v>164</v>
      </c>
      <c r="W9" s="5" t="s">
        <v>107</v>
      </c>
      <c r="X9" s="5" t="s">
        <v>165</v>
      </c>
      <c r="Y9" s="5" t="s">
        <v>166</v>
      </c>
      <c r="Z9" s="5" t="s">
        <v>167</v>
      </c>
      <c r="AA9" s="5" t="s">
        <v>168</v>
      </c>
    </row>
    <row r="10" customFormat="false" ht="75" hidden="false" customHeight="true" outlineLevel="0" collapsed="false">
      <c r="A10" s="5" t="s">
        <v>169</v>
      </c>
      <c r="B10" s="5" t="s">
        <v>170</v>
      </c>
      <c r="C10" s="5" t="s">
        <v>171</v>
      </c>
      <c r="D10" s="5" t="s">
        <v>172</v>
      </c>
      <c r="E10" s="5" t="s">
        <v>173</v>
      </c>
      <c r="F10" s="5" t="s">
        <v>174</v>
      </c>
      <c r="G10" s="5" t="s">
        <v>49</v>
      </c>
      <c r="H10" s="5" t="s">
        <v>50</v>
      </c>
      <c r="I10" s="5" t="s">
        <v>51</v>
      </c>
      <c r="J10" s="5" t="s">
        <v>171</v>
      </c>
      <c r="K10" s="5" t="s">
        <v>70</v>
      </c>
      <c r="L10" s="5" t="s">
        <v>175</v>
      </c>
      <c r="M10" s="5" t="s">
        <v>176</v>
      </c>
      <c r="N10" s="6" t="n">
        <f aca="false">IFERROR(INDEX(Keywords!$F$2:$F$107,MATCH(L10,Keywords!$A$2:$A$107,0)),"s/d")</f>
        <v>1000000</v>
      </c>
      <c r="O10" s="5" t="n">
        <f aca="false">IFERROR(IF(INDEX(Keywords!$G$2:$G$107,MATCH(L10,Keywords!$A$2:$A$107,0))="","s/d",INDEX(Keywords!$G$2:$G$107,MATCH(L10,Keywords!$A$2:$A$107,0))),"s/d")</f>
        <v>46</v>
      </c>
      <c r="P10" s="6" t="n">
        <f aca="false">SUMIFS(Keywords!$F$2:$F$107,Keywords!$C$2:$C$107,A10,Keywords!$D$2:$D$107,"Principal")+SUMIFS(Keywords!$F$2:$F$107,Keywords!$C$2:$C$107,A10,Keywords!$D$2:$D$107,"Secundaria")+SUMIFS(Keywords!$F$2:$F$107,Keywords!$C$2:$C$107,A10,Keywords!$D$2:$D$107,"Soporte (H2/FAQ)")</f>
        <v>3093600</v>
      </c>
      <c r="Q10" s="5" t="s">
        <v>177</v>
      </c>
      <c r="R10" s="5" t="s">
        <v>178</v>
      </c>
      <c r="S10" s="7" t="n">
        <f aca="false">LEN(R10)</f>
        <v>55</v>
      </c>
      <c r="T10" s="5" t="s">
        <v>179</v>
      </c>
      <c r="U10" s="7" t="n">
        <f aca="false">IF(LEFT(T10,1)="(","",LEN(T10))</f>
        <v>136</v>
      </c>
      <c r="V10" s="5" t="s">
        <v>180</v>
      </c>
      <c r="W10" s="5" t="s">
        <v>59</v>
      </c>
      <c r="X10" s="5" t="s">
        <v>181</v>
      </c>
      <c r="Y10" s="5" t="s">
        <v>182</v>
      </c>
      <c r="Z10" s="5" t="s">
        <v>183</v>
      </c>
      <c r="AA10" s="5" t="s">
        <v>184</v>
      </c>
    </row>
    <row r="11" customFormat="false" ht="75" hidden="false" customHeight="true" outlineLevel="0" collapsed="false">
      <c r="A11" s="5" t="s">
        <v>185</v>
      </c>
      <c r="B11" s="5" t="s">
        <v>186</v>
      </c>
      <c r="C11" s="5" t="s">
        <v>187</v>
      </c>
      <c r="D11" s="5" t="s">
        <v>188</v>
      </c>
      <c r="E11" s="5" t="s">
        <v>189</v>
      </c>
      <c r="F11" s="5" t="s">
        <v>190</v>
      </c>
      <c r="G11" s="5" t="s">
        <v>49</v>
      </c>
      <c r="H11" s="5" t="s">
        <v>50</v>
      </c>
      <c r="I11" s="5" t="s">
        <v>51</v>
      </c>
      <c r="J11" s="5" t="s">
        <v>187</v>
      </c>
      <c r="K11" s="5" t="s">
        <v>159</v>
      </c>
      <c r="L11" s="5" t="s">
        <v>191</v>
      </c>
      <c r="M11" s="5" t="s">
        <v>192</v>
      </c>
      <c r="N11" s="6" t="n">
        <f aca="false">IFERROR(INDEX(Keywords!$F$2:$F$107,MATCH(L11,Keywords!$A$2:$A$107,0)),"s/d")</f>
        <v>320</v>
      </c>
      <c r="O11" s="5" t="n">
        <f aca="false">IFERROR(IF(INDEX(Keywords!$G$2:$G$107,MATCH(L11,Keywords!$A$2:$A$107,0))="","s/d",INDEX(Keywords!$G$2:$G$107,MATCH(L11,Keywords!$A$2:$A$107,0))),"s/d")</f>
        <v>0</v>
      </c>
      <c r="P11" s="6" t="n">
        <f aca="false">SUMIFS(Keywords!$F$2:$F$107,Keywords!$C$2:$C$107,A11,Keywords!$D$2:$D$107,"Principal")+SUMIFS(Keywords!$F$2:$F$107,Keywords!$C$2:$C$107,A11,Keywords!$D$2:$D$107,"Secundaria")+SUMIFS(Keywords!$F$2:$F$107,Keywords!$C$2:$C$107,A11,Keywords!$D$2:$D$107,"Soporte (H2/FAQ)")</f>
        <v>1050</v>
      </c>
      <c r="Q11" s="5" t="s">
        <v>193</v>
      </c>
      <c r="R11" s="5" t="s">
        <v>194</v>
      </c>
      <c r="S11" s="7" t="n">
        <f aca="false">LEN(R11)</f>
        <v>60</v>
      </c>
      <c r="T11" s="5" t="s">
        <v>195</v>
      </c>
      <c r="U11" s="7" t="n">
        <f aca="false">IF(LEFT(T11,1)="(","",LEN(T11))</f>
        <v>139</v>
      </c>
      <c r="V11" s="5" t="s">
        <v>196</v>
      </c>
      <c r="W11" s="5" t="s">
        <v>107</v>
      </c>
      <c r="X11" s="5" t="s">
        <v>108</v>
      </c>
      <c r="Y11" s="5" t="s">
        <v>197</v>
      </c>
      <c r="Z11" s="5" t="s">
        <v>198</v>
      </c>
      <c r="AA11" s="5" t="s">
        <v>199</v>
      </c>
    </row>
    <row r="12" customFormat="false" ht="75" hidden="false" customHeight="true" outlineLevel="0" collapsed="false">
      <c r="A12" s="5" t="s">
        <v>200</v>
      </c>
      <c r="B12" s="5" t="s">
        <v>201</v>
      </c>
      <c r="C12" s="5" t="s">
        <v>202</v>
      </c>
      <c r="D12" s="5" t="s">
        <v>203</v>
      </c>
      <c r="E12" s="5" t="s">
        <v>100</v>
      </c>
      <c r="F12" s="5" t="s">
        <v>204</v>
      </c>
      <c r="G12" s="5" t="s">
        <v>49</v>
      </c>
      <c r="H12" s="5" t="s">
        <v>50</v>
      </c>
      <c r="I12" s="5" t="s">
        <v>51</v>
      </c>
      <c r="J12" s="5" t="s">
        <v>202</v>
      </c>
      <c r="K12" s="5" t="s">
        <v>70</v>
      </c>
      <c r="L12" s="5" t="s">
        <v>205</v>
      </c>
      <c r="M12" s="5" t="s">
        <v>206</v>
      </c>
      <c r="N12" s="6" t="n">
        <f aca="false">IFERROR(INDEX(Keywords!$F$2:$F$107,MATCH(L12,Keywords!$A$2:$A$107,0)),"s/d")</f>
        <v>10</v>
      </c>
      <c r="O12" s="5" t="str">
        <f aca="false">IFERROR(IF(INDEX(Keywords!$G$2:$G$107,MATCH(L12,Keywords!$A$2:$A$107,0))="","s/d",INDEX(Keywords!$G$2:$G$107,MATCH(L12,Keywords!$A$2:$A$107,0))),"s/d")</f>
        <v>s/d</v>
      </c>
      <c r="P12" s="6" t="n">
        <f aca="false">SUMIFS(Keywords!$F$2:$F$107,Keywords!$C$2:$C$107,A12,Keywords!$D$2:$D$107,"Principal")+SUMIFS(Keywords!$F$2:$F$107,Keywords!$C$2:$C$107,A12,Keywords!$D$2:$D$107,"Secundaria")+SUMIFS(Keywords!$F$2:$F$107,Keywords!$C$2:$C$107,A12,Keywords!$D$2:$D$107,"Soporte (H2/FAQ)")</f>
        <v>10</v>
      </c>
      <c r="Q12" s="5" t="s">
        <v>61</v>
      </c>
      <c r="R12" s="5" t="s">
        <v>207</v>
      </c>
      <c r="S12" s="7" t="n">
        <f aca="false">LEN(R12)</f>
        <v>62</v>
      </c>
      <c r="T12" s="5" t="s">
        <v>208</v>
      </c>
      <c r="U12" s="7" t="n">
        <f aca="false">IF(LEFT(T12,1)="(","",LEN(T12))</f>
        <v>137</v>
      </c>
      <c r="V12" s="5" t="s">
        <v>209</v>
      </c>
      <c r="W12" s="5" t="s">
        <v>107</v>
      </c>
      <c r="X12" s="5" t="s">
        <v>108</v>
      </c>
      <c r="Y12" s="5" t="s">
        <v>210</v>
      </c>
      <c r="Z12" s="5" t="s">
        <v>211</v>
      </c>
      <c r="AA12" s="5" t="s">
        <v>212</v>
      </c>
    </row>
    <row r="13" customFormat="false" ht="75" hidden="false" customHeight="true" outlineLevel="0" collapsed="false">
      <c r="A13" s="5" t="s">
        <v>213</v>
      </c>
      <c r="B13" s="5" t="s">
        <v>214</v>
      </c>
      <c r="C13" s="5" t="s">
        <v>215</v>
      </c>
      <c r="D13" s="5" t="s">
        <v>216</v>
      </c>
      <c r="E13" s="5" t="s">
        <v>85</v>
      </c>
      <c r="F13" s="5" t="s">
        <v>217</v>
      </c>
      <c r="G13" s="5" t="s">
        <v>49</v>
      </c>
      <c r="H13" s="5" t="s">
        <v>50</v>
      </c>
      <c r="I13" s="5" t="s">
        <v>51</v>
      </c>
      <c r="J13" s="5" t="s">
        <v>215</v>
      </c>
      <c r="K13" s="5" t="s">
        <v>52</v>
      </c>
      <c r="L13" s="5" t="s">
        <v>218</v>
      </c>
      <c r="M13" s="5" t="s">
        <v>219</v>
      </c>
      <c r="N13" s="6" t="n">
        <f aca="false">IFERROR(INDEX(Keywords!$F$2:$F$107,MATCH(L13,Keywords!$A$2:$A$107,0)),"s/d")</f>
        <v>5400</v>
      </c>
      <c r="O13" s="5" t="str">
        <f aca="false">IFERROR(IF(INDEX(Keywords!$G$2:$G$107,MATCH(L13,Keywords!$A$2:$A$107,0))="","s/d",INDEX(Keywords!$G$2:$G$107,MATCH(L13,Keywords!$A$2:$A$107,0))),"s/d")</f>
        <v>s/d</v>
      </c>
      <c r="P13" s="6" t="n">
        <f aca="false">SUMIFS(Keywords!$F$2:$F$107,Keywords!$C$2:$C$107,A13,Keywords!$D$2:$D$107,"Principal")+SUMIFS(Keywords!$F$2:$F$107,Keywords!$C$2:$C$107,A13,Keywords!$D$2:$D$107,"Secundaria")+SUMIFS(Keywords!$F$2:$F$107,Keywords!$C$2:$C$107,A13,Keywords!$D$2:$D$107,"Soporte (H2/FAQ)")</f>
        <v>5500</v>
      </c>
      <c r="Q13" s="5" t="s">
        <v>220</v>
      </c>
      <c r="R13" s="5" t="s">
        <v>221</v>
      </c>
      <c r="S13" s="7" t="n">
        <f aca="false">LEN(R13)</f>
        <v>62</v>
      </c>
      <c r="T13" s="5" t="s">
        <v>222</v>
      </c>
      <c r="U13" s="7" t="n">
        <f aca="false">IF(LEFT(T13,1)="(","",LEN(T13))</f>
        <v>135</v>
      </c>
      <c r="V13" s="5" t="s">
        <v>223</v>
      </c>
      <c r="W13" s="5" t="s">
        <v>59</v>
      </c>
      <c r="X13" s="5" t="s">
        <v>92</v>
      </c>
      <c r="Y13" s="5" t="s">
        <v>224</v>
      </c>
      <c r="Z13" s="5" t="s">
        <v>225</v>
      </c>
      <c r="AA13" s="5" t="s">
        <v>226</v>
      </c>
    </row>
    <row r="14" customFormat="false" ht="75" hidden="false" customHeight="true" outlineLevel="0" collapsed="false">
      <c r="A14" s="5" t="s">
        <v>227</v>
      </c>
      <c r="B14" s="5" t="s">
        <v>228</v>
      </c>
      <c r="C14" s="5" t="s">
        <v>229</v>
      </c>
      <c r="D14" s="5" t="s">
        <v>230</v>
      </c>
      <c r="E14" s="5" t="s">
        <v>189</v>
      </c>
      <c r="F14" s="5" t="s">
        <v>231</v>
      </c>
      <c r="G14" s="5" t="s">
        <v>49</v>
      </c>
      <c r="H14" s="5" t="s">
        <v>50</v>
      </c>
      <c r="I14" s="5" t="s">
        <v>51</v>
      </c>
      <c r="J14" s="5" t="s">
        <v>229</v>
      </c>
      <c r="K14" s="5" t="s">
        <v>70</v>
      </c>
      <c r="L14" s="5" t="s">
        <v>232</v>
      </c>
      <c r="M14" s="5" t="s">
        <v>72</v>
      </c>
      <c r="N14" s="6" t="n">
        <f aca="false">IFERROR(INDEX(Keywords!$F$2:$F$107,MATCH(L14,Keywords!$A$2:$A$107,0)),"s/d")</f>
        <v>880</v>
      </c>
      <c r="O14" s="5" t="str">
        <f aca="false">IFERROR(IF(INDEX(Keywords!$G$2:$G$107,MATCH(L14,Keywords!$A$2:$A$107,0))="","s/d",INDEX(Keywords!$G$2:$G$107,MATCH(L14,Keywords!$A$2:$A$107,0))),"s/d")</f>
        <v>s/d</v>
      </c>
      <c r="P14" s="6" t="n">
        <f aca="false">SUMIFS(Keywords!$F$2:$F$107,Keywords!$C$2:$C$107,A14,Keywords!$D$2:$D$107,"Principal")+SUMIFS(Keywords!$F$2:$F$107,Keywords!$C$2:$C$107,A14,Keywords!$D$2:$D$107,"Secundaria")+SUMIFS(Keywords!$F$2:$F$107,Keywords!$C$2:$C$107,A14,Keywords!$D$2:$D$107,"Soporte (H2/FAQ)")</f>
        <v>1730</v>
      </c>
      <c r="Q14" s="5" t="s">
        <v>233</v>
      </c>
      <c r="R14" s="5" t="s">
        <v>234</v>
      </c>
      <c r="S14" s="7" t="n">
        <f aca="false">LEN(R14)</f>
        <v>62</v>
      </c>
      <c r="T14" s="5" t="s">
        <v>235</v>
      </c>
      <c r="U14" s="7" t="n">
        <f aca="false">IF(LEFT(T14,1)="(","",LEN(T14))</f>
        <v>136</v>
      </c>
      <c r="V14" s="5" t="s">
        <v>236</v>
      </c>
      <c r="W14" s="5" t="s">
        <v>107</v>
      </c>
      <c r="X14" s="5" t="s">
        <v>237</v>
      </c>
      <c r="Y14" s="5" t="s">
        <v>238</v>
      </c>
      <c r="Z14" s="5" t="s">
        <v>239</v>
      </c>
      <c r="AA14" s="5" t="s">
        <v>240</v>
      </c>
    </row>
    <row r="15" customFormat="false" ht="75" hidden="false" customHeight="true" outlineLevel="0" collapsed="false">
      <c r="A15" s="5" t="s">
        <v>241</v>
      </c>
      <c r="B15" s="5" t="s">
        <v>242</v>
      </c>
      <c r="C15" s="5" t="s">
        <v>243</v>
      </c>
      <c r="D15" s="5" t="s">
        <v>244</v>
      </c>
      <c r="E15" s="5" t="s">
        <v>100</v>
      </c>
      <c r="F15" s="5" t="s">
        <v>245</v>
      </c>
      <c r="G15" s="5" t="s">
        <v>49</v>
      </c>
      <c r="H15" s="5" t="s">
        <v>50</v>
      </c>
      <c r="I15" s="5" t="s">
        <v>51</v>
      </c>
      <c r="J15" s="5" t="s">
        <v>243</v>
      </c>
      <c r="K15" s="5" t="s">
        <v>159</v>
      </c>
      <c r="L15" s="5" t="s">
        <v>246</v>
      </c>
      <c r="M15" s="5" t="s">
        <v>72</v>
      </c>
      <c r="N15" s="6" t="str">
        <f aca="false">IFERROR(INDEX(Keywords!$F$2:$F$107,MATCH(L15,Keywords!$A$2:$A$107,0)),"s/d")</f>
        <v>s/d</v>
      </c>
      <c r="O15" s="5" t="str">
        <f aca="false">IFERROR(IF(INDEX(Keywords!$G$2:$G$107,MATCH(L15,Keywords!$A$2:$A$107,0))="","s/d",INDEX(Keywords!$G$2:$G$107,MATCH(L15,Keywords!$A$2:$A$107,0))),"s/d")</f>
        <v>s/d</v>
      </c>
      <c r="P15" s="6" t="n">
        <f aca="false">SUMIFS(Keywords!$F$2:$F$107,Keywords!$C$2:$C$107,A15,Keywords!$D$2:$D$107,"Principal")+SUMIFS(Keywords!$F$2:$F$107,Keywords!$C$2:$C$107,A15,Keywords!$D$2:$D$107,"Secundaria")+SUMIFS(Keywords!$F$2:$F$107,Keywords!$C$2:$C$107,A15,Keywords!$D$2:$D$107,"Soporte (H2/FAQ)")</f>
        <v>0</v>
      </c>
      <c r="Q15" s="5" t="s">
        <v>247</v>
      </c>
      <c r="R15" s="5" t="s">
        <v>248</v>
      </c>
      <c r="S15" s="7" t="n">
        <f aca="false">LEN(R15)</f>
        <v>59</v>
      </c>
      <c r="T15" s="5" t="s">
        <v>249</v>
      </c>
      <c r="U15" s="7" t="n">
        <f aca="false">IF(LEFT(T15,1)="(","",LEN(T15))</f>
        <v>134</v>
      </c>
      <c r="V15" s="5" t="s">
        <v>250</v>
      </c>
      <c r="W15" s="5" t="s">
        <v>107</v>
      </c>
      <c r="X15" s="5" t="s">
        <v>108</v>
      </c>
      <c r="Y15" s="5" t="s">
        <v>251</v>
      </c>
      <c r="Z15" s="5" t="s">
        <v>252</v>
      </c>
      <c r="AA15" s="5" t="s">
        <v>253</v>
      </c>
    </row>
    <row r="16" customFormat="false" ht="75" hidden="false" customHeight="true" outlineLevel="0" collapsed="false">
      <c r="A16" s="5" t="s">
        <v>254</v>
      </c>
      <c r="B16" s="5" t="s">
        <v>255</v>
      </c>
      <c r="C16" s="5" t="s">
        <v>256</v>
      </c>
      <c r="D16" s="5" t="s">
        <v>257</v>
      </c>
      <c r="E16" s="5" t="s">
        <v>68</v>
      </c>
      <c r="F16" s="5" t="s">
        <v>258</v>
      </c>
      <c r="G16" s="5" t="s">
        <v>49</v>
      </c>
      <c r="H16" s="5" t="s">
        <v>50</v>
      </c>
      <c r="I16" s="5" t="s">
        <v>51</v>
      </c>
      <c r="J16" s="5" t="s">
        <v>256</v>
      </c>
      <c r="K16" s="5" t="s">
        <v>70</v>
      </c>
      <c r="L16" s="5" t="s">
        <v>259</v>
      </c>
      <c r="M16" s="5" t="s">
        <v>72</v>
      </c>
      <c r="N16" s="6" t="str">
        <f aca="false">IFERROR(INDEX(Keywords!$F$2:$F$107,MATCH(L16,Keywords!$A$2:$A$107,0)),"s/d")</f>
        <v>s/d</v>
      </c>
      <c r="O16" s="5" t="str">
        <f aca="false">IFERROR(IF(INDEX(Keywords!$G$2:$G$107,MATCH(L16,Keywords!$A$2:$A$107,0))="","s/d",INDEX(Keywords!$G$2:$G$107,MATCH(L16,Keywords!$A$2:$A$107,0))),"s/d")</f>
        <v>s/d</v>
      </c>
      <c r="P16" s="6" t="n">
        <f aca="false">SUMIFS(Keywords!$F$2:$F$107,Keywords!$C$2:$C$107,A16,Keywords!$D$2:$D$107,"Principal")+SUMIFS(Keywords!$F$2:$F$107,Keywords!$C$2:$C$107,A16,Keywords!$D$2:$D$107,"Secundaria")+SUMIFS(Keywords!$F$2:$F$107,Keywords!$C$2:$C$107,A16,Keywords!$D$2:$D$107,"Soporte (H2/FAQ)")</f>
        <v>0</v>
      </c>
      <c r="Q16" s="5" t="s">
        <v>260</v>
      </c>
      <c r="R16" s="5" t="s">
        <v>261</v>
      </c>
      <c r="S16" s="7" t="n">
        <f aca="false">LEN(R16)</f>
        <v>59</v>
      </c>
      <c r="T16" s="5" t="s">
        <v>262</v>
      </c>
      <c r="U16" s="7" t="n">
        <f aca="false">IF(LEFT(T16,1)="(","",LEN(T16))</f>
        <v>139</v>
      </c>
      <c r="V16" s="5" t="s">
        <v>263</v>
      </c>
      <c r="W16" s="5" t="s">
        <v>59</v>
      </c>
      <c r="X16" s="5" t="s">
        <v>77</v>
      </c>
      <c r="Y16" s="5" t="s">
        <v>264</v>
      </c>
      <c r="Z16" s="5" t="s">
        <v>265</v>
      </c>
      <c r="AA16" s="5" t="s">
        <v>266</v>
      </c>
    </row>
    <row r="17" customFormat="false" ht="75" hidden="false" customHeight="true" outlineLevel="0" collapsed="false">
      <c r="A17" s="5" t="s">
        <v>267</v>
      </c>
      <c r="B17" s="5" t="s">
        <v>268</v>
      </c>
      <c r="C17" s="5" t="s">
        <v>269</v>
      </c>
      <c r="D17" s="5" t="s">
        <v>270</v>
      </c>
      <c r="E17" s="5" t="s">
        <v>68</v>
      </c>
      <c r="F17" s="5" t="s">
        <v>271</v>
      </c>
      <c r="G17" s="5" t="s">
        <v>272</v>
      </c>
      <c r="H17" s="5" t="s">
        <v>273</v>
      </c>
      <c r="I17" s="5" t="s">
        <v>274</v>
      </c>
      <c r="J17" s="5" t="s">
        <v>269</v>
      </c>
      <c r="K17" s="5" t="s">
        <v>159</v>
      </c>
      <c r="L17" s="5" t="s">
        <v>275</v>
      </c>
      <c r="M17" s="5" t="s">
        <v>61</v>
      </c>
      <c r="N17" s="6" t="str">
        <f aca="false">IFERROR(INDEX(Keywords!$F$2:$F$107,MATCH(L17,Keywords!$A$2:$A$107,0)),"s/d")</f>
        <v>s/d</v>
      </c>
      <c r="O17" s="5" t="str">
        <f aca="false">IFERROR(IF(INDEX(Keywords!$G$2:$G$107,MATCH(L17,Keywords!$A$2:$A$107,0))="","s/d",INDEX(Keywords!$G$2:$G$107,MATCH(L17,Keywords!$A$2:$A$107,0))),"s/d")</f>
        <v>s/d</v>
      </c>
      <c r="P17" s="6" t="n">
        <f aca="false">SUMIFS(Keywords!$F$2:$F$107,Keywords!$C$2:$C$107,A17,Keywords!$D$2:$D$107,"Principal")+SUMIFS(Keywords!$F$2:$F$107,Keywords!$C$2:$C$107,A17,Keywords!$D$2:$D$107,"Secundaria")+SUMIFS(Keywords!$F$2:$F$107,Keywords!$C$2:$C$107,A17,Keywords!$D$2:$D$107,"Soporte (H2/FAQ)")</f>
        <v>0</v>
      </c>
      <c r="Q17" s="5" t="s">
        <v>276</v>
      </c>
      <c r="R17" s="5" t="s">
        <v>277</v>
      </c>
      <c r="S17" s="7" t="n">
        <f aca="false">LEN(R17)</f>
        <v>56</v>
      </c>
      <c r="T17" s="5" t="s">
        <v>278</v>
      </c>
      <c r="U17" s="7" t="n">
        <f aca="false">IF(LEFT(T17,1)="(","",LEN(T17))</f>
        <v>132</v>
      </c>
      <c r="V17" s="5" t="s">
        <v>279</v>
      </c>
      <c r="W17" s="5" t="s">
        <v>59</v>
      </c>
      <c r="X17" s="5" t="s">
        <v>280</v>
      </c>
      <c r="Y17" s="5" t="s">
        <v>281</v>
      </c>
      <c r="Z17" s="5" t="s">
        <v>282</v>
      </c>
      <c r="AA17" s="5" t="s">
        <v>283</v>
      </c>
    </row>
    <row r="18" customFormat="false" ht="75" hidden="false" customHeight="true" outlineLevel="0" collapsed="false">
      <c r="A18" s="5" t="s">
        <v>284</v>
      </c>
      <c r="B18" s="5" t="s">
        <v>285</v>
      </c>
      <c r="C18" s="5" t="s">
        <v>286</v>
      </c>
      <c r="D18" s="5" t="s">
        <v>287</v>
      </c>
      <c r="E18" s="5" t="s">
        <v>288</v>
      </c>
      <c r="F18" s="5" t="s">
        <v>271</v>
      </c>
      <c r="G18" s="5" t="s">
        <v>272</v>
      </c>
      <c r="H18" s="5" t="s">
        <v>50</v>
      </c>
      <c r="I18" s="5" t="s">
        <v>51</v>
      </c>
      <c r="J18" s="5" t="s">
        <v>286</v>
      </c>
      <c r="K18" s="5" t="s">
        <v>159</v>
      </c>
      <c r="L18" s="5" t="s">
        <v>289</v>
      </c>
      <c r="M18" s="5" t="s">
        <v>61</v>
      </c>
      <c r="N18" s="6" t="str">
        <f aca="false">IFERROR(INDEX(Keywords!$F$2:$F$107,MATCH(L18,Keywords!$A$2:$A$107,0)),"s/d")</f>
        <v>s/d</v>
      </c>
      <c r="O18" s="5" t="str">
        <f aca="false">IFERROR(IF(INDEX(Keywords!$G$2:$G$107,MATCH(L18,Keywords!$A$2:$A$107,0))="","s/d",INDEX(Keywords!$G$2:$G$107,MATCH(L18,Keywords!$A$2:$A$107,0))),"s/d")</f>
        <v>s/d</v>
      </c>
      <c r="P18" s="6" t="n">
        <f aca="false">SUMIFS(Keywords!$F$2:$F$107,Keywords!$C$2:$C$107,A18,Keywords!$D$2:$D$107,"Principal")+SUMIFS(Keywords!$F$2:$F$107,Keywords!$C$2:$C$107,A18,Keywords!$D$2:$D$107,"Secundaria")+SUMIFS(Keywords!$F$2:$F$107,Keywords!$C$2:$C$107,A18,Keywords!$D$2:$D$107,"Soporte (H2/FAQ)")</f>
        <v>0</v>
      </c>
      <c r="Q18" s="5" t="s">
        <v>61</v>
      </c>
      <c r="R18" s="5" t="s">
        <v>290</v>
      </c>
      <c r="S18" s="7" t="n">
        <f aca="false">LEN(R18)</f>
        <v>61</v>
      </c>
      <c r="T18" s="5" t="s">
        <v>291</v>
      </c>
      <c r="U18" s="7" t="n">
        <f aca="false">IF(LEFT(T18,1)="(","",LEN(T18))</f>
        <v>135</v>
      </c>
      <c r="V18" s="5" t="s">
        <v>285</v>
      </c>
      <c r="W18" s="5" t="s">
        <v>59</v>
      </c>
      <c r="X18" s="5" t="s">
        <v>292</v>
      </c>
      <c r="Y18" s="5" t="s">
        <v>293</v>
      </c>
      <c r="Z18" s="5" t="s">
        <v>252</v>
      </c>
      <c r="AA18" s="5" t="s">
        <v>294</v>
      </c>
    </row>
    <row r="19" customFormat="false" ht="75" hidden="false" customHeight="true" outlineLevel="0" collapsed="false">
      <c r="A19" s="5" t="s">
        <v>295</v>
      </c>
      <c r="B19" s="5" t="s">
        <v>296</v>
      </c>
      <c r="C19" s="5" t="s">
        <v>297</v>
      </c>
      <c r="D19" s="5" t="s">
        <v>298</v>
      </c>
      <c r="E19" s="5" t="s">
        <v>288</v>
      </c>
      <c r="F19" s="5" t="s">
        <v>271</v>
      </c>
      <c r="G19" s="5" t="s">
        <v>272</v>
      </c>
      <c r="H19" s="5" t="s">
        <v>50</v>
      </c>
      <c r="I19" s="5" t="s">
        <v>51</v>
      </c>
      <c r="J19" s="5" t="s">
        <v>297</v>
      </c>
      <c r="K19" s="5" t="s">
        <v>159</v>
      </c>
      <c r="L19" s="5" t="s">
        <v>299</v>
      </c>
      <c r="M19" s="5" t="s">
        <v>61</v>
      </c>
      <c r="N19" s="6" t="str">
        <f aca="false">IFERROR(INDEX(Keywords!$F$2:$F$107,MATCH(L19,Keywords!$A$2:$A$107,0)),"s/d")</f>
        <v>s/d</v>
      </c>
      <c r="O19" s="5" t="str">
        <f aca="false">IFERROR(IF(INDEX(Keywords!$G$2:$G$107,MATCH(L19,Keywords!$A$2:$A$107,0))="","s/d",INDEX(Keywords!$G$2:$G$107,MATCH(L19,Keywords!$A$2:$A$107,0))),"s/d")</f>
        <v>s/d</v>
      </c>
      <c r="P19" s="6" t="n">
        <f aca="false">SUMIFS(Keywords!$F$2:$F$107,Keywords!$C$2:$C$107,A19,Keywords!$D$2:$D$107,"Principal")+SUMIFS(Keywords!$F$2:$F$107,Keywords!$C$2:$C$107,A19,Keywords!$D$2:$D$107,"Secundaria")+SUMIFS(Keywords!$F$2:$F$107,Keywords!$C$2:$C$107,A19,Keywords!$D$2:$D$107,"Soporte (H2/FAQ)")</f>
        <v>0</v>
      </c>
      <c r="Q19" s="5" t="s">
        <v>61</v>
      </c>
      <c r="R19" s="5" t="s">
        <v>300</v>
      </c>
      <c r="S19" s="7" t="n">
        <f aca="false">LEN(R19)</f>
        <v>58</v>
      </c>
      <c r="T19" s="5" t="s">
        <v>301</v>
      </c>
      <c r="U19" s="7" t="n">
        <f aca="false">IF(LEFT(T19,1)="(","",LEN(T19))</f>
        <v>130</v>
      </c>
      <c r="V19" s="5" t="s">
        <v>302</v>
      </c>
      <c r="W19" s="5" t="s">
        <v>59</v>
      </c>
      <c r="X19" s="5" t="s">
        <v>303</v>
      </c>
      <c r="Y19" s="5" t="s">
        <v>304</v>
      </c>
      <c r="Z19" s="5" t="s">
        <v>305</v>
      </c>
      <c r="AA19" s="5" t="s">
        <v>306</v>
      </c>
    </row>
    <row r="20" customFormat="false" ht="75" hidden="false" customHeight="true" outlineLevel="0" collapsed="false">
      <c r="A20" s="5" t="s">
        <v>307</v>
      </c>
      <c r="B20" s="5" t="s">
        <v>308</v>
      </c>
      <c r="C20" s="5" t="s">
        <v>309</v>
      </c>
      <c r="D20" s="5" t="s">
        <v>310</v>
      </c>
      <c r="E20" s="5" t="s">
        <v>288</v>
      </c>
      <c r="F20" s="5" t="s">
        <v>271</v>
      </c>
      <c r="G20" s="5" t="s">
        <v>272</v>
      </c>
      <c r="H20" s="5" t="s">
        <v>50</v>
      </c>
      <c r="I20" s="5" t="s">
        <v>51</v>
      </c>
      <c r="J20" s="5" t="s">
        <v>309</v>
      </c>
      <c r="K20" s="5" t="s">
        <v>159</v>
      </c>
      <c r="L20" s="5" t="s">
        <v>299</v>
      </c>
      <c r="M20" s="5" t="s">
        <v>61</v>
      </c>
      <c r="N20" s="6" t="str">
        <f aca="false">IFERROR(INDEX(Keywords!$F$2:$F$107,MATCH(L20,Keywords!$A$2:$A$107,0)),"s/d")</f>
        <v>s/d</v>
      </c>
      <c r="O20" s="5" t="str">
        <f aca="false">IFERROR(IF(INDEX(Keywords!$G$2:$G$107,MATCH(L20,Keywords!$A$2:$A$107,0))="","s/d",INDEX(Keywords!$G$2:$G$107,MATCH(L20,Keywords!$A$2:$A$107,0))),"s/d")</f>
        <v>s/d</v>
      </c>
      <c r="P20" s="6" t="n">
        <f aca="false">SUMIFS(Keywords!$F$2:$F$107,Keywords!$C$2:$C$107,A20,Keywords!$D$2:$D$107,"Principal")+SUMIFS(Keywords!$F$2:$F$107,Keywords!$C$2:$C$107,A20,Keywords!$D$2:$D$107,"Secundaria")+SUMIFS(Keywords!$F$2:$F$107,Keywords!$C$2:$C$107,A20,Keywords!$D$2:$D$107,"Soporte (H2/FAQ)")</f>
        <v>0</v>
      </c>
      <c r="Q20" s="5" t="s">
        <v>61</v>
      </c>
      <c r="R20" s="5" t="s">
        <v>311</v>
      </c>
      <c r="S20" s="7" t="n">
        <f aca="false">LEN(R20)</f>
        <v>65</v>
      </c>
      <c r="T20" s="5" t="s">
        <v>312</v>
      </c>
      <c r="U20" s="7" t="n">
        <f aca="false">IF(LEFT(T20,1)="(","",LEN(T20))</f>
        <v>142</v>
      </c>
      <c r="V20" s="5" t="s">
        <v>308</v>
      </c>
      <c r="W20" s="5" t="s">
        <v>59</v>
      </c>
      <c r="X20" s="5" t="s">
        <v>303</v>
      </c>
      <c r="Y20" s="5" t="s">
        <v>313</v>
      </c>
      <c r="Z20" s="5" t="s">
        <v>314</v>
      </c>
      <c r="AA20" s="5" t="s">
        <v>315</v>
      </c>
    </row>
    <row r="21" customFormat="false" ht="75" hidden="false" customHeight="true" outlineLevel="0" collapsed="false">
      <c r="A21" s="5" t="s">
        <v>316</v>
      </c>
      <c r="B21" s="5" t="s">
        <v>317</v>
      </c>
      <c r="C21" s="5" t="s">
        <v>318</v>
      </c>
      <c r="D21" s="5" t="s">
        <v>319</v>
      </c>
      <c r="E21" s="5" t="s">
        <v>320</v>
      </c>
      <c r="F21" s="5" t="s">
        <v>321</v>
      </c>
      <c r="G21" s="5" t="s">
        <v>322</v>
      </c>
      <c r="H21" s="5" t="s">
        <v>50</v>
      </c>
      <c r="I21" s="5" t="s">
        <v>51</v>
      </c>
      <c r="J21" s="5" t="s">
        <v>318</v>
      </c>
      <c r="K21" s="5" t="s">
        <v>323</v>
      </c>
      <c r="L21" s="5" t="s">
        <v>299</v>
      </c>
      <c r="M21" s="5" t="s">
        <v>61</v>
      </c>
      <c r="N21" s="6" t="str">
        <f aca="false">IFERROR(INDEX(Keywords!$F$2:$F$107,MATCH(L21,Keywords!$A$2:$A$107,0)),"s/d")</f>
        <v>s/d</v>
      </c>
      <c r="O21" s="5" t="str">
        <f aca="false">IFERROR(IF(INDEX(Keywords!$G$2:$G$107,MATCH(L21,Keywords!$A$2:$A$107,0))="","s/d",INDEX(Keywords!$G$2:$G$107,MATCH(L21,Keywords!$A$2:$A$107,0))),"s/d")</f>
        <v>s/d</v>
      </c>
      <c r="P21" s="6" t="n">
        <f aca="false">SUMIFS(Keywords!$F$2:$F$107,Keywords!$C$2:$C$107,A21,Keywords!$D$2:$D$107,"Principal")+SUMIFS(Keywords!$F$2:$F$107,Keywords!$C$2:$C$107,A21,Keywords!$D$2:$D$107,"Secundaria")+SUMIFS(Keywords!$F$2:$F$107,Keywords!$C$2:$C$107,A21,Keywords!$D$2:$D$107,"Soporte (H2/FAQ)")</f>
        <v>0</v>
      </c>
      <c r="Q21" s="5" t="s">
        <v>61</v>
      </c>
      <c r="R21" s="5" t="s">
        <v>324</v>
      </c>
      <c r="S21" s="7" t="n">
        <f aca="false">LEN(R21)</f>
        <v>23</v>
      </c>
      <c r="T21" s="5" t="s">
        <v>325</v>
      </c>
      <c r="U21" s="7" t="n">
        <f aca="false">IF(LEFT(T21,1)="(","",LEN(T21))</f>
        <v>101</v>
      </c>
      <c r="V21" s="5" t="s">
        <v>317</v>
      </c>
      <c r="W21" s="5" t="s">
        <v>59</v>
      </c>
      <c r="X21" s="5" t="s">
        <v>326</v>
      </c>
      <c r="Y21" s="5" t="s">
        <v>327</v>
      </c>
      <c r="Z21" s="5" t="s">
        <v>328</v>
      </c>
      <c r="AA21" s="5" t="s">
        <v>329</v>
      </c>
    </row>
    <row r="22" customFormat="false" ht="75" hidden="false" customHeight="true" outlineLevel="0" collapsed="false">
      <c r="A22" s="5" t="s">
        <v>330</v>
      </c>
      <c r="B22" s="5" t="s">
        <v>331</v>
      </c>
      <c r="C22" s="5" t="s">
        <v>332</v>
      </c>
      <c r="D22" s="5" t="s">
        <v>333</v>
      </c>
      <c r="E22" s="5" t="s">
        <v>320</v>
      </c>
      <c r="F22" s="5" t="s">
        <v>321</v>
      </c>
      <c r="G22" s="5" t="s">
        <v>322</v>
      </c>
      <c r="H22" s="5" t="s">
        <v>50</v>
      </c>
      <c r="I22" s="5" t="s">
        <v>51</v>
      </c>
      <c r="J22" s="5" t="s">
        <v>332</v>
      </c>
      <c r="K22" s="5" t="s">
        <v>323</v>
      </c>
      <c r="L22" s="5" t="s">
        <v>299</v>
      </c>
      <c r="M22" s="5" t="s">
        <v>61</v>
      </c>
      <c r="N22" s="6" t="str">
        <f aca="false">IFERROR(INDEX(Keywords!$F$2:$F$107,MATCH(L22,Keywords!$A$2:$A$107,0)),"s/d")</f>
        <v>s/d</v>
      </c>
      <c r="O22" s="5" t="str">
        <f aca="false">IFERROR(IF(INDEX(Keywords!$G$2:$G$107,MATCH(L22,Keywords!$A$2:$A$107,0))="","s/d",INDEX(Keywords!$G$2:$G$107,MATCH(L22,Keywords!$A$2:$A$107,0))),"s/d")</f>
        <v>s/d</v>
      </c>
      <c r="P22" s="6" t="n">
        <f aca="false">SUMIFS(Keywords!$F$2:$F$107,Keywords!$C$2:$C$107,A22,Keywords!$D$2:$D$107,"Principal")+SUMIFS(Keywords!$F$2:$F$107,Keywords!$C$2:$C$107,A22,Keywords!$D$2:$D$107,"Secundaria")+SUMIFS(Keywords!$F$2:$F$107,Keywords!$C$2:$C$107,A22,Keywords!$D$2:$D$107,"Soporte (H2/FAQ)")</f>
        <v>0</v>
      </c>
      <c r="Q22" s="5" t="s">
        <v>61</v>
      </c>
      <c r="R22" s="5" t="s">
        <v>334</v>
      </c>
      <c r="S22" s="7" t="n">
        <f aca="false">LEN(R22)</f>
        <v>51</v>
      </c>
      <c r="T22" s="5" t="s">
        <v>335</v>
      </c>
      <c r="U22" s="7" t="n">
        <f aca="false">IF(LEFT(T22,1)="(","",LEN(T22))</f>
        <v>125</v>
      </c>
      <c r="V22" s="5" t="s">
        <v>336</v>
      </c>
      <c r="W22" s="5" t="s">
        <v>59</v>
      </c>
      <c r="X22" s="5" t="s">
        <v>326</v>
      </c>
      <c r="Y22" s="5" t="s">
        <v>337</v>
      </c>
      <c r="Z22" s="5" t="s">
        <v>328</v>
      </c>
      <c r="AA22" s="5" t="s">
        <v>338</v>
      </c>
    </row>
    <row r="23" customFormat="false" ht="75" hidden="false" customHeight="true" outlineLevel="0" collapsed="false">
      <c r="A23" s="5" t="s">
        <v>339</v>
      </c>
      <c r="B23" s="5" t="s">
        <v>340</v>
      </c>
      <c r="C23" s="5" t="s">
        <v>341</v>
      </c>
      <c r="D23" s="5" t="s">
        <v>342</v>
      </c>
      <c r="E23" s="5" t="s">
        <v>343</v>
      </c>
      <c r="F23" s="5" t="s">
        <v>344</v>
      </c>
      <c r="G23" s="5" t="s">
        <v>49</v>
      </c>
      <c r="H23" s="5" t="s">
        <v>345</v>
      </c>
      <c r="I23" s="5" t="s">
        <v>346</v>
      </c>
      <c r="J23" s="5" t="s">
        <v>347</v>
      </c>
      <c r="K23" s="5" t="s">
        <v>348</v>
      </c>
      <c r="L23" s="5" t="s">
        <v>349</v>
      </c>
      <c r="M23" s="5" t="s">
        <v>61</v>
      </c>
      <c r="N23" s="6" t="str">
        <f aca="false">IFERROR(INDEX(Keywords!$F$2:$F$107,MATCH(L23,Keywords!$A$2:$A$107,0)),"s/d")</f>
        <v>s/d</v>
      </c>
      <c r="O23" s="5" t="str">
        <f aca="false">IFERROR(IF(INDEX(Keywords!$G$2:$G$107,MATCH(L23,Keywords!$A$2:$A$107,0))="","s/d",INDEX(Keywords!$G$2:$G$107,MATCH(L23,Keywords!$A$2:$A$107,0))),"s/d")</f>
        <v>s/d</v>
      </c>
      <c r="P23" s="6" t="n">
        <f aca="false">SUMIFS(Keywords!$F$2:$F$107,Keywords!$C$2:$C$107,A23,Keywords!$D$2:$D$107,"Principal")+SUMIFS(Keywords!$F$2:$F$107,Keywords!$C$2:$C$107,A23,Keywords!$D$2:$D$107,"Secundaria")+SUMIFS(Keywords!$F$2:$F$107,Keywords!$C$2:$C$107,A23,Keywords!$D$2:$D$107,"Soporte (H2/FAQ)")</f>
        <v>0</v>
      </c>
      <c r="Q23" s="5" t="s">
        <v>350</v>
      </c>
      <c r="R23" s="5" t="s">
        <v>351</v>
      </c>
      <c r="S23" s="7" t="n">
        <f aca="false">LEN(R23)</f>
        <v>53</v>
      </c>
      <c r="T23" s="5" t="s">
        <v>352</v>
      </c>
      <c r="U23" s="7" t="str">
        <f aca="false">IF(LEFT(T23,1)="(","",LEN(T23))</f>
        <v/>
      </c>
      <c r="V23" s="5" t="s">
        <v>353</v>
      </c>
      <c r="W23" s="5" t="s">
        <v>59</v>
      </c>
      <c r="X23" s="5" t="s">
        <v>354</v>
      </c>
      <c r="Y23" s="5" t="s">
        <v>355</v>
      </c>
      <c r="Z23" s="5" t="s">
        <v>356</v>
      </c>
      <c r="AA23" s="5" t="s">
        <v>357</v>
      </c>
    </row>
    <row r="24" customFormat="false" ht="75" hidden="false" customHeight="true" outlineLevel="0" collapsed="false">
      <c r="A24" s="5" t="s">
        <v>358</v>
      </c>
      <c r="B24" s="5" t="s">
        <v>359</v>
      </c>
      <c r="C24" s="5" t="s">
        <v>360</v>
      </c>
      <c r="D24" s="5" t="s">
        <v>361</v>
      </c>
      <c r="E24" s="5" t="s">
        <v>362</v>
      </c>
      <c r="F24" s="5" t="s">
        <v>363</v>
      </c>
      <c r="G24" s="5" t="s">
        <v>364</v>
      </c>
      <c r="H24" s="5" t="s">
        <v>365</v>
      </c>
      <c r="I24" s="5" t="s">
        <v>346</v>
      </c>
      <c r="J24" s="5" t="s">
        <v>366</v>
      </c>
      <c r="K24" s="5" t="s">
        <v>367</v>
      </c>
      <c r="L24" s="5" t="s">
        <v>299</v>
      </c>
      <c r="M24" s="5" t="s">
        <v>61</v>
      </c>
      <c r="N24" s="6" t="str">
        <f aca="false">IFERROR(INDEX(Keywords!$F$2:$F$107,MATCH(L24,Keywords!$A$2:$A$107,0)),"s/d")</f>
        <v>s/d</v>
      </c>
      <c r="O24" s="5" t="str">
        <f aca="false">IFERROR(IF(INDEX(Keywords!$G$2:$G$107,MATCH(L24,Keywords!$A$2:$A$107,0))="","s/d",INDEX(Keywords!$G$2:$G$107,MATCH(L24,Keywords!$A$2:$A$107,0))),"s/d")</f>
        <v>s/d</v>
      </c>
      <c r="P24" s="6" t="n">
        <f aca="false">SUMIFS(Keywords!$F$2:$F$107,Keywords!$C$2:$C$107,A24,Keywords!$D$2:$D$107,"Principal")+SUMIFS(Keywords!$F$2:$F$107,Keywords!$C$2:$C$107,A24,Keywords!$D$2:$D$107,"Secundaria")+SUMIFS(Keywords!$F$2:$F$107,Keywords!$C$2:$C$107,A24,Keywords!$D$2:$D$107,"Soporte (H2/FAQ)")</f>
        <v>0</v>
      </c>
      <c r="Q24" s="5" t="s">
        <v>61</v>
      </c>
      <c r="R24" s="5" t="s">
        <v>368</v>
      </c>
      <c r="S24" s="7" t="n">
        <f aca="false">LEN(R24)</f>
        <v>21</v>
      </c>
      <c r="T24" s="5" t="s">
        <v>369</v>
      </c>
      <c r="U24" s="7" t="str">
        <f aca="false">IF(LEFT(T24,1)="(","",LEN(T24))</f>
        <v/>
      </c>
      <c r="V24" s="5" t="s">
        <v>369</v>
      </c>
      <c r="W24" s="5" t="s">
        <v>61</v>
      </c>
      <c r="X24" s="5" t="s">
        <v>354</v>
      </c>
      <c r="Y24" s="5" t="s">
        <v>61</v>
      </c>
      <c r="Z24" s="5" t="s">
        <v>61</v>
      </c>
      <c r="AA24" s="5" t="s">
        <v>370</v>
      </c>
    </row>
    <row r="26" customFormat="false" ht="15" hidden="false" customHeight="false" outlineLevel="0" collapsed="false">
      <c r="A26" s="8" t="s">
        <v>371</v>
      </c>
    </row>
  </sheetData>
  <autoFilter ref="A1:AA24"/>
  <conditionalFormatting sqref="S2:S24">
    <cfRule type="expression" priority="2" aboveAverage="0" equalAverage="0" bottom="0" percent="0" rank="0" text="" dxfId="4">
      <formula>AND($H2&lt;&gt;"",LEFT($H2,5)="index",OR(S2&lt;55,S2&gt;65),$E2&lt;&gt;"Legal")</formula>
    </cfRule>
    <cfRule type="expression" priority="3" aboveAverage="0" equalAverage="0" bottom="0" percent="0" rank="0" text="" dxfId="5">
      <formula>AND(S2&gt;=55,S2&lt;=65)</formula>
    </cfRule>
  </conditionalFormatting>
  <conditionalFormatting sqref="U2:U24">
    <cfRule type="expression" priority="4" aboveAverage="0" equalAverage="0" bottom="0" percent="0" rank="0" text="" dxfId="4">
      <formula>AND(U2&lt;&gt;"",LEFT($H2,5)="index",OR(U2&lt;120,U2&gt;150),$E2&lt;&gt;"Legal")</formula>
    </cfRule>
    <cfRule type="expression" priority="5" aboveAverage="0" equalAverage="0" bottom="0" percent="0" rank="0" text="" dxfId="5">
      <formula>AND(U2&lt;&gt;"",U2&gt;=120,U2&lt;=150)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34"/>
    <col collapsed="false" customWidth="true" hidden="false" outlineLevel="0" max="4" min="4" style="0" width="110"/>
    <col collapsed="false" customWidth="true" hidden="false" outlineLevel="0" max="5" min="5" style="0" width="50"/>
  </cols>
  <sheetData>
    <row r="1" customFormat="false" ht="31.5" hidden="false" customHeight="true" outlineLevel="0" collapsed="false">
      <c r="A1" s="4" t="s">
        <v>17</v>
      </c>
      <c r="B1" s="4" t="s">
        <v>19</v>
      </c>
      <c r="C1" s="4" t="s">
        <v>372</v>
      </c>
      <c r="D1" s="4" t="s">
        <v>373</v>
      </c>
      <c r="E1" s="4" t="s">
        <v>43</v>
      </c>
    </row>
    <row r="2" customFormat="false" ht="180" hidden="false" customHeight="true" outlineLevel="0" collapsed="false">
      <c r="A2" s="5" t="s">
        <v>44</v>
      </c>
      <c r="B2" s="9" t="str">
        <f aca="false">URLs!C2</f>
        <v>https://frilo.dev/</v>
      </c>
      <c r="C2" s="5" t="s">
        <v>60</v>
      </c>
      <c r="D2" s="10" t="s">
        <v>374</v>
      </c>
      <c r="E2" s="5" t="s">
        <v>375</v>
      </c>
    </row>
    <row r="3" customFormat="false" ht="180" hidden="false" customHeight="true" outlineLevel="0" collapsed="false">
      <c r="A3" s="5" t="s">
        <v>64</v>
      </c>
      <c r="B3" s="9" t="str">
        <f aca="false">URLs!C3</f>
        <v>https://frilo.dev/calculadoras</v>
      </c>
      <c r="C3" s="5" t="s">
        <v>77</v>
      </c>
      <c r="D3" s="10" t="s">
        <v>376</v>
      </c>
      <c r="E3" s="5" t="s">
        <v>375</v>
      </c>
    </row>
    <row r="4" customFormat="false" ht="180" hidden="false" customHeight="true" outlineLevel="0" collapsed="false">
      <c r="A4" s="5" t="s">
        <v>81</v>
      </c>
      <c r="B4" s="9" t="str">
        <f aca="false">URLs!C4</f>
        <v>https://frilo.dev/calculadoras/aportes-independientes</v>
      </c>
      <c r="C4" s="5" t="s">
        <v>92</v>
      </c>
      <c r="D4" s="10" t="s">
        <v>377</v>
      </c>
      <c r="E4" s="5" t="s">
        <v>375</v>
      </c>
    </row>
    <row r="5" customFormat="false" ht="180" hidden="false" customHeight="true" outlineLevel="0" collapsed="false">
      <c r="A5" s="5" t="s">
        <v>96</v>
      </c>
      <c r="B5" s="9" t="str">
        <f aca="false">URLs!C5</f>
        <v>https://frilo.dev/guias/ibc-independientes</v>
      </c>
      <c r="C5" s="5" t="s">
        <v>108</v>
      </c>
      <c r="D5" s="10" t="s">
        <v>378</v>
      </c>
      <c r="E5" s="5" t="s">
        <v>375</v>
      </c>
    </row>
    <row r="6" customFormat="false" ht="180" hidden="false" customHeight="true" outlineLevel="0" collapsed="false">
      <c r="A6" s="5" t="s">
        <v>112</v>
      </c>
      <c r="B6" s="9" t="str">
        <f aca="false">URLs!C6</f>
        <v>https://frilo.dev/calculadoras/cesantias</v>
      </c>
      <c r="C6" s="5" t="s">
        <v>92</v>
      </c>
      <c r="D6" s="10" t="s">
        <v>379</v>
      </c>
      <c r="E6" s="5" t="s">
        <v>375</v>
      </c>
    </row>
    <row r="7" customFormat="false" ht="180" hidden="false" customHeight="true" outlineLevel="0" collapsed="false">
      <c r="A7" s="5" t="s">
        <v>125</v>
      </c>
      <c r="B7" s="9" t="str">
        <f aca="false">URLs!C7</f>
        <v>https://frilo.dev/guias/descargar-planilla-seguridad-social</v>
      </c>
      <c r="C7" s="5" t="s">
        <v>108</v>
      </c>
      <c r="D7" s="10" t="s">
        <v>380</v>
      </c>
      <c r="E7" s="5" t="s">
        <v>375</v>
      </c>
    </row>
    <row r="8" customFormat="false" ht="180" hidden="false" customHeight="true" outlineLevel="0" collapsed="false">
      <c r="A8" s="5" t="s">
        <v>139</v>
      </c>
      <c r="B8" s="9" t="str">
        <f aca="false">URLs!C8</f>
        <v>https://frilo.dev/calculadoras/fecha-pago-planilla</v>
      </c>
      <c r="C8" s="5" t="s">
        <v>92</v>
      </c>
      <c r="D8" s="10" t="s">
        <v>381</v>
      </c>
      <c r="E8" s="5" t="s">
        <v>375</v>
      </c>
    </row>
    <row r="9" customFormat="false" ht="180" hidden="false" customHeight="true" outlineLevel="0" collapsed="false">
      <c r="A9" s="5" t="s">
        <v>152</v>
      </c>
      <c r="B9" s="9" t="str">
        <f aca="false">URLs!C9</f>
        <v>https://frilo.dev/glosario/sln</v>
      </c>
      <c r="C9" s="5" t="s">
        <v>165</v>
      </c>
      <c r="D9" s="10" t="s">
        <v>382</v>
      </c>
      <c r="E9" s="5" t="s">
        <v>383</v>
      </c>
    </row>
    <row r="10" customFormat="false" ht="180" hidden="false" customHeight="true" outlineLevel="0" collapsed="false">
      <c r="A10" s="5" t="s">
        <v>169</v>
      </c>
      <c r="B10" s="9" t="str">
        <f aca="false">URLs!C10</f>
        <v>https://frilo.dev/dolar-hoy</v>
      </c>
      <c r="C10" s="5" t="s">
        <v>181</v>
      </c>
      <c r="D10" s="10" t="s">
        <v>384</v>
      </c>
      <c r="E10" s="5" t="s">
        <v>385</v>
      </c>
    </row>
    <row r="11" customFormat="false" ht="180" hidden="false" customHeight="true" outlineLevel="0" collapsed="false">
      <c r="A11" s="5" t="s">
        <v>185</v>
      </c>
      <c r="B11" s="9" t="str">
        <f aca="false">URLs!C11</f>
        <v>https://frilo.dev/guias/cuenta-en-dolares-colombia</v>
      </c>
      <c r="C11" s="5" t="s">
        <v>108</v>
      </c>
      <c r="D11" s="10" t="s">
        <v>386</v>
      </c>
      <c r="E11" s="5" t="s">
        <v>375</v>
      </c>
    </row>
    <row r="12" customFormat="false" ht="180" hidden="false" customHeight="true" outlineLevel="0" collapsed="false">
      <c r="A12" s="5" t="s">
        <v>200</v>
      </c>
      <c r="B12" s="9" t="str">
        <f aca="false">URLs!C12</f>
        <v>https://frilo.dev/guias/recibir-pagos-en-dolares-colombia</v>
      </c>
      <c r="C12" s="5" t="s">
        <v>108</v>
      </c>
      <c r="D12" s="10" t="s">
        <v>387</v>
      </c>
      <c r="E12" s="5" t="s">
        <v>375</v>
      </c>
    </row>
    <row r="13" customFormat="false" ht="180" hidden="false" customHeight="true" outlineLevel="0" collapsed="false">
      <c r="A13" s="5" t="s">
        <v>213</v>
      </c>
      <c r="B13" s="9" t="str">
        <f aca="false">URLs!C13</f>
        <v>https://frilo.dev/calculadoras/interes-compuesto</v>
      </c>
      <c r="C13" s="5" t="s">
        <v>92</v>
      </c>
      <c r="D13" s="10" t="s">
        <v>388</v>
      </c>
      <c r="E13" s="5" t="s">
        <v>375</v>
      </c>
    </row>
    <row r="14" customFormat="false" ht="180" hidden="false" customHeight="true" outlineLevel="0" collapsed="false">
      <c r="A14" s="5" t="s">
        <v>227</v>
      </c>
      <c r="B14" s="9" t="str">
        <f aca="false">URLs!C14</f>
        <v>https://frilo.dev/guias/cuentas-de-ahorro-alto-rendimiento</v>
      </c>
      <c r="C14" s="5" t="s">
        <v>237</v>
      </c>
      <c r="D14" s="10" t="s">
        <v>389</v>
      </c>
      <c r="E14" s="5" t="s">
        <v>390</v>
      </c>
    </row>
    <row r="15" customFormat="false" ht="180" hidden="false" customHeight="true" outlineLevel="0" collapsed="false">
      <c r="A15" s="5" t="s">
        <v>241</v>
      </c>
      <c r="B15" s="9" t="str">
        <f aca="false">URLs!C15</f>
        <v>https://frilo.dev/guias/cesantias-independientes</v>
      </c>
      <c r="C15" s="5" t="s">
        <v>108</v>
      </c>
      <c r="D15" s="10" t="s">
        <v>391</v>
      </c>
      <c r="E15" s="5" t="s">
        <v>375</v>
      </c>
    </row>
    <row r="16" customFormat="false" ht="180" hidden="false" customHeight="true" outlineLevel="0" collapsed="false">
      <c r="A16" s="5" t="s">
        <v>254</v>
      </c>
      <c r="B16" s="9" t="str">
        <f aca="false">URLs!C16</f>
        <v>https://frilo.dev/guias</v>
      </c>
      <c r="C16" s="5" t="s">
        <v>77</v>
      </c>
      <c r="D16" s="10" t="s">
        <v>392</v>
      </c>
      <c r="E16" s="5" t="s">
        <v>375</v>
      </c>
    </row>
    <row r="17" customFormat="false" ht="180" hidden="false" customHeight="true" outlineLevel="0" collapsed="false">
      <c r="A17" s="5" t="s">
        <v>267</v>
      </c>
      <c r="B17" s="9" t="str">
        <f aca="false">URLs!C17</f>
        <v>https://frilo.dev/glosario</v>
      </c>
      <c r="C17" s="5" t="s">
        <v>280</v>
      </c>
      <c r="D17" s="10" t="s">
        <v>393</v>
      </c>
      <c r="E17" s="5" t="s">
        <v>375</v>
      </c>
    </row>
    <row r="18" customFormat="false" ht="180" hidden="false" customHeight="true" outlineLevel="0" collapsed="false">
      <c r="A18" s="5" t="s">
        <v>284</v>
      </c>
      <c r="B18" s="9" t="str">
        <f aca="false">URLs!C18</f>
        <v>https://frilo.dev/quienes-somos</v>
      </c>
      <c r="C18" s="5" t="s">
        <v>292</v>
      </c>
      <c r="D18" s="10" t="s">
        <v>394</v>
      </c>
      <c r="E18" s="5" t="s">
        <v>375</v>
      </c>
    </row>
    <row r="19" customFormat="false" ht="180" hidden="false" customHeight="true" outlineLevel="0" collapsed="false">
      <c r="A19" s="5" t="s">
        <v>295</v>
      </c>
      <c r="B19" s="9" t="str">
        <f aca="false">URLs!C19</f>
        <v>https://frilo.dev/metodologia</v>
      </c>
      <c r="C19" s="5" t="s">
        <v>303</v>
      </c>
      <c r="D19" s="10" t="s">
        <v>395</v>
      </c>
      <c r="E19" s="5" t="s">
        <v>375</v>
      </c>
    </row>
    <row r="20" customFormat="false" ht="180" hidden="false" customHeight="true" outlineLevel="0" collapsed="false">
      <c r="A20" s="5" t="s">
        <v>307</v>
      </c>
      <c r="B20" s="9" t="str">
        <f aca="false">URLs!C20</f>
        <v>https://frilo.dev/transparencia</v>
      </c>
      <c r="C20" s="5" t="s">
        <v>303</v>
      </c>
      <c r="D20" s="10" t="s">
        <v>396</v>
      </c>
      <c r="E20" s="5" t="s">
        <v>375</v>
      </c>
    </row>
    <row r="21" customFormat="false" ht="180" hidden="false" customHeight="true" outlineLevel="0" collapsed="false">
      <c r="A21" s="5" t="s">
        <v>316</v>
      </c>
      <c r="B21" s="9" t="str">
        <f aca="false">URLs!C21</f>
        <v>https://frilo.dev/terminos</v>
      </c>
      <c r="C21" s="5" t="s">
        <v>326</v>
      </c>
      <c r="D21" s="10" t="s">
        <v>397</v>
      </c>
      <c r="E21" s="5" t="s">
        <v>375</v>
      </c>
    </row>
    <row r="22" customFormat="false" ht="180" hidden="false" customHeight="true" outlineLevel="0" collapsed="false">
      <c r="A22" s="5" t="s">
        <v>330</v>
      </c>
      <c r="B22" s="9" t="str">
        <f aca="false">URLs!C22</f>
        <v>https://frilo.dev/politica-de-datos</v>
      </c>
      <c r="C22" s="5" t="s">
        <v>326</v>
      </c>
      <c r="D22" s="10" t="s">
        <v>398</v>
      </c>
      <c r="E22" s="5" t="s">
        <v>375</v>
      </c>
    </row>
    <row r="23" customFormat="false" ht="180" hidden="false" customHeight="true" outlineLevel="0" collapsed="false">
      <c r="A23" s="5" t="s">
        <v>339</v>
      </c>
      <c r="B23" s="9" t="str">
        <f aca="false">URLs!C23</f>
        <v>https://frilo.dev/lp/planilla-independientes</v>
      </c>
      <c r="C23" s="5" t="s">
        <v>354</v>
      </c>
      <c r="D23" s="10" t="s">
        <v>399</v>
      </c>
      <c r="E23" s="5" t="s">
        <v>400</v>
      </c>
    </row>
    <row r="24" customFormat="false" ht="180" hidden="false" customHeight="true" outlineLevel="0" collapsed="false">
      <c r="A24" s="5" t="s">
        <v>358</v>
      </c>
      <c r="B24" s="9" t="str">
        <f aca="false">URLs!C24</f>
        <v>https://app.frilo.dev</v>
      </c>
      <c r="C24" s="5" t="s">
        <v>354</v>
      </c>
      <c r="D24" s="10" t="s">
        <v>399</v>
      </c>
      <c r="E24" s="5" t="s">
        <v>400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36"/>
    <col collapsed="false" customWidth="true" hidden="false" outlineLevel="0" max="8" min="4" style="0" width="14"/>
    <col collapsed="false" customWidth="true" hidden="false" outlineLevel="0" max="9" min="9" style="0" width="50"/>
  </cols>
  <sheetData>
    <row r="1" customFormat="false" ht="31.5" hidden="false" customHeight="true" outlineLevel="0" collapsed="false">
      <c r="A1" s="4" t="s">
        <v>17</v>
      </c>
      <c r="B1" s="4" t="s">
        <v>19</v>
      </c>
      <c r="C1" s="4" t="s">
        <v>28</v>
      </c>
      <c r="D1" s="4" t="s">
        <v>30</v>
      </c>
      <c r="E1" s="4" t="s">
        <v>401</v>
      </c>
      <c r="F1" s="4" t="s">
        <v>402</v>
      </c>
      <c r="G1" s="4" t="s">
        <v>403</v>
      </c>
      <c r="H1" s="4" t="s">
        <v>404</v>
      </c>
      <c r="I1" s="4" t="s">
        <v>405</v>
      </c>
    </row>
    <row r="2" customFormat="false" ht="15" hidden="false" customHeight="false" outlineLevel="0" collapsed="false">
      <c r="A2" s="9" t="str">
        <f aca="false">URLs!A2</f>
        <v>Home</v>
      </c>
      <c r="B2" s="9" t="str">
        <f aca="false">URLs!C2</f>
        <v>https://frilo.dev/</v>
      </c>
      <c r="C2" s="9" t="str">
        <f aca="false">URLs!L2</f>
        <v>frilo</v>
      </c>
      <c r="D2" s="11" t="str">
        <f aca="false">URLs!N2</f>
        <v>s/d</v>
      </c>
      <c r="E2" s="11" t="n">
        <f aca="false">URLs!P2</f>
        <v>0</v>
      </c>
      <c r="F2" s="6" t="n">
        <f aca="false">ROUND(E2*Supuestos!$B$4,0)</f>
        <v>0</v>
      </c>
      <c r="G2" s="6" t="n">
        <f aca="false">ROUND(E2*Supuestos!$B$3,0)</f>
        <v>0</v>
      </c>
      <c r="H2" s="6" t="n">
        <f aca="false">ROUND(E2*Supuestos!$B$2,0)</f>
        <v>0</v>
      </c>
      <c r="I2" s="5" t="s">
        <v>406</v>
      </c>
    </row>
    <row r="3" customFormat="false" ht="15" hidden="false" customHeight="false" outlineLevel="0" collapsed="false">
      <c r="A3" s="9" t="str">
        <f aca="false">URLs!A3</f>
        <v>Hub-C</v>
      </c>
      <c r="B3" s="9" t="str">
        <f aca="false">URLs!C3</f>
        <v>https://frilo.dev/calculadoras</v>
      </c>
      <c r="C3" s="9" t="str">
        <f aca="false">URLs!L3</f>
        <v>calculadoras para independientes</v>
      </c>
      <c r="D3" s="11" t="str">
        <f aca="false">URLs!N3</f>
        <v>s/d</v>
      </c>
      <c r="E3" s="11" t="n">
        <f aca="false">URLs!P3</f>
        <v>0</v>
      </c>
      <c r="F3" s="6" t="n">
        <f aca="false">ROUND(E3*Supuestos!$B$4,0)</f>
        <v>0</v>
      </c>
      <c r="G3" s="6" t="n">
        <f aca="false">ROUND(E3*Supuestos!$B$3,0)</f>
        <v>0</v>
      </c>
      <c r="H3" s="6" t="n">
        <f aca="false">ROUND(E3*Supuestos!$B$2,0)</f>
        <v>0</v>
      </c>
      <c r="I3" s="5" t="s">
        <v>406</v>
      </c>
    </row>
    <row r="4" customFormat="false" ht="15" hidden="false" customHeight="false" outlineLevel="0" collapsed="false">
      <c r="A4" s="9" t="str">
        <f aca="false">URLs!A4</f>
        <v>P01</v>
      </c>
      <c r="B4" s="9" t="str">
        <f aca="false">URLs!C4</f>
        <v>https://frilo.dev/calculadoras/aportes-independientes</v>
      </c>
      <c r="C4" s="9" t="str">
        <f aca="false">URLs!L4</f>
        <v>calculadora de aportes</v>
      </c>
      <c r="D4" s="11" t="n">
        <f aca="false">URLs!N4</f>
        <v>2400</v>
      </c>
      <c r="E4" s="11" t="n">
        <f aca="false">URLs!P4</f>
        <v>2580</v>
      </c>
      <c r="F4" s="6" t="n">
        <f aca="false">ROUND(E4*Supuestos!$B$4,0)</f>
        <v>41</v>
      </c>
      <c r="G4" s="6" t="n">
        <f aca="false">ROUND(E4*Supuestos!$B$3,0)</f>
        <v>263</v>
      </c>
      <c r="H4" s="6" t="n">
        <f aca="false">ROUND(E4*Supuestos!$B$2,0)</f>
        <v>1027</v>
      </c>
      <c r="I4" s="5"/>
    </row>
    <row r="5" customFormat="false" ht="15" hidden="false" customHeight="false" outlineLevel="0" collapsed="false">
      <c r="A5" s="9" t="str">
        <f aca="false">URLs!A5</f>
        <v>P02</v>
      </c>
      <c r="B5" s="9" t="str">
        <f aca="false">URLs!C5</f>
        <v>https://frilo.dev/guias/ibc-independientes</v>
      </c>
      <c r="C5" s="9" t="str">
        <f aca="false">URLs!L5</f>
        <v>ibc para independientes</v>
      </c>
      <c r="D5" s="11" t="n">
        <f aca="false">URLs!N5</f>
        <v>90</v>
      </c>
      <c r="E5" s="11" t="n">
        <f aca="false">URLs!P5</f>
        <v>340</v>
      </c>
      <c r="F5" s="6" t="n">
        <f aca="false">ROUND(E5*Supuestos!$B$4,0)</f>
        <v>5</v>
      </c>
      <c r="G5" s="6" t="n">
        <f aca="false">ROUND(E5*Supuestos!$B$3,0)</f>
        <v>35</v>
      </c>
      <c r="H5" s="6" t="n">
        <f aca="false">ROUND(E5*Supuestos!$B$2,0)</f>
        <v>135</v>
      </c>
      <c r="I5" s="5"/>
    </row>
    <row r="6" customFormat="false" ht="15" hidden="false" customHeight="false" outlineLevel="0" collapsed="false">
      <c r="A6" s="9" t="str">
        <f aca="false">URLs!A6</f>
        <v>P03</v>
      </c>
      <c r="B6" s="9" t="str">
        <f aca="false">URLs!C6</f>
        <v>https://frilo.dev/calculadoras/cesantias</v>
      </c>
      <c r="C6" s="9" t="str">
        <f aca="false">URLs!L6</f>
        <v>calculadora de intereses de cesantías</v>
      </c>
      <c r="D6" s="11" t="n">
        <f aca="false">URLs!N6</f>
        <v>880</v>
      </c>
      <c r="E6" s="11" t="n">
        <f aca="false">URLs!P6</f>
        <v>1130</v>
      </c>
      <c r="F6" s="6" t="n">
        <f aca="false">ROUND(E6*Supuestos!$B$4,0)</f>
        <v>18</v>
      </c>
      <c r="G6" s="6" t="n">
        <f aca="false">ROUND(E6*Supuestos!$B$3,0)</f>
        <v>115</v>
      </c>
      <c r="H6" s="6" t="n">
        <f aca="false">ROUND(E6*Supuestos!$B$2,0)</f>
        <v>450</v>
      </c>
      <c r="I6" s="5"/>
    </row>
    <row r="7" customFormat="false" ht="15" hidden="false" customHeight="false" outlineLevel="0" collapsed="false">
      <c r="A7" s="9" t="str">
        <f aca="false">URLs!A7</f>
        <v>P04</v>
      </c>
      <c r="B7" s="9" t="str">
        <f aca="false">URLs!C7</f>
        <v>https://frilo.dev/guias/descargar-planilla-seguridad-social</v>
      </c>
      <c r="C7" s="9" t="str">
        <f aca="false">URLs!L7</f>
        <v>descargar planilla de seguridad social</v>
      </c>
      <c r="D7" s="11" t="n">
        <f aca="false">URLs!N7</f>
        <v>1300</v>
      </c>
      <c r="E7" s="11" t="n">
        <f aca="false">URLs!P7</f>
        <v>2110</v>
      </c>
      <c r="F7" s="6" t="n">
        <f aca="false">ROUND(E7*Supuestos!$B$4,0)</f>
        <v>34</v>
      </c>
      <c r="G7" s="6" t="n">
        <f aca="false">ROUND(E7*Supuestos!$B$3,0)</f>
        <v>215</v>
      </c>
      <c r="H7" s="6" t="n">
        <f aca="false">ROUND(E7*Supuestos!$B$2,0)</f>
        <v>840</v>
      </c>
      <c r="I7" s="5"/>
    </row>
    <row r="8" customFormat="false" ht="15" hidden="false" customHeight="false" outlineLevel="0" collapsed="false">
      <c r="A8" s="9" t="str">
        <f aca="false">URLs!A8</f>
        <v>P05</v>
      </c>
      <c r="B8" s="9" t="str">
        <f aca="false">URLs!C8</f>
        <v>https://frilo.dev/calculadoras/fecha-pago-planilla</v>
      </c>
      <c r="C8" s="9" t="str">
        <f aca="false">URLs!L8</f>
        <v>fecha de pago planilla seguridad social</v>
      </c>
      <c r="D8" s="11" t="n">
        <f aca="false">URLs!N8</f>
        <v>320</v>
      </c>
      <c r="E8" s="11" t="n">
        <f aca="false">URLs!P8</f>
        <v>320</v>
      </c>
      <c r="F8" s="6" t="n">
        <f aca="false">ROUND(E8*Supuestos!$B$4,0)</f>
        <v>5</v>
      </c>
      <c r="G8" s="6" t="n">
        <f aca="false">ROUND(E8*Supuestos!$B$3,0)</f>
        <v>33</v>
      </c>
      <c r="H8" s="6" t="n">
        <f aca="false">ROUND(E8*Supuestos!$B$2,0)</f>
        <v>127</v>
      </c>
      <c r="I8" s="5"/>
    </row>
    <row r="9" customFormat="false" ht="15" hidden="false" customHeight="false" outlineLevel="0" collapsed="false">
      <c r="A9" s="9" t="str">
        <f aca="false">URLs!A9</f>
        <v>P06</v>
      </c>
      <c r="B9" s="9" t="str">
        <f aca="false">URLs!C9</f>
        <v>https://frilo.dev/glosario/sln</v>
      </c>
      <c r="C9" s="9" t="str">
        <f aca="false">URLs!L9</f>
        <v>sln en planilla de seguridad social</v>
      </c>
      <c r="D9" s="11" t="n">
        <f aca="false">URLs!N9</f>
        <v>210</v>
      </c>
      <c r="E9" s="11" t="n">
        <f aca="false">URLs!P9</f>
        <v>210</v>
      </c>
      <c r="F9" s="6" t="n">
        <f aca="false">ROUND(E9*Supuestos!$B$4,0)</f>
        <v>3</v>
      </c>
      <c r="G9" s="6" t="n">
        <f aca="false">ROUND(E9*Supuestos!$B$3,0)</f>
        <v>21</v>
      </c>
      <c r="H9" s="6" t="n">
        <f aca="false">ROUND(E9*Supuestos!$B$2,0)</f>
        <v>84</v>
      </c>
      <c r="I9" s="5"/>
    </row>
    <row r="10" customFormat="false" ht="23.85" hidden="false" customHeight="false" outlineLevel="0" collapsed="false">
      <c r="A10" s="9" t="str">
        <f aca="false">URLs!A10</f>
        <v>P07</v>
      </c>
      <c r="B10" s="9" t="str">
        <f aca="false">URLs!C10</f>
        <v>https://frilo.dev/dolar-hoy</v>
      </c>
      <c r="C10" s="9" t="str">
        <f aca="false">URLs!L10</f>
        <v>dolar hoy colombia</v>
      </c>
      <c r="D10" s="11" t="n">
        <f aca="false">URLs!N10</f>
        <v>1000000</v>
      </c>
      <c r="E10" s="11" t="n">
        <f aca="false">URLs!P10</f>
        <v>3093600</v>
      </c>
      <c r="F10" s="6" t="n">
        <f aca="false">ROUND(E10*Supuestos!$B$4,0)</f>
        <v>49498</v>
      </c>
      <c r="G10" s="6" t="n">
        <f aca="false">ROUND(E10*Supuestos!$B$3,0)</f>
        <v>315547</v>
      </c>
      <c r="H10" s="6" t="n">
        <f aca="false">ROUND(E10*Supuestos!$B$2,0)</f>
        <v>1231253</v>
      </c>
      <c r="I10" s="5" t="s">
        <v>407</v>
      </c>
    </row>
    <row r="11" customFormat="false" ht="15" hidden="false" customHeight="false" outlineLevel="0" collapsed="false">
      <c r="A11" s="9" t="str">
        <f aca="false">URLs!A11</f>
        <v>P08</v>
      </c>
      <c r="B11" s="9" t="str">
        <f aca="false">URLs!C11</f>
        <v>https://frilo.dev/guias/cuenta-en-dolares-colombia</v>
      </c>
      <c r="C11" s="9" t="str">
        <f aca="false">URLs!L11</f>
        <v>cuenta en dolares en colombia</v>
      </c>
      <c r="D11" s="11" t="n">
        <f aca="false">URLs!N11</f>
        <v>320</v>
      </c>
      <c r="E11" s="11" t="n">
        <f aca="false">URLs!P11</f>
        <v>1050</v>
      </c>
      <c r="F11" s="6" t="n">
        <f aca="false">ROUND(E11*Supuestos!$B$4,0)</f>
        <v>17</v>
      </c>
      <c r="G11" s="6" t="n">
        <f aca="false">ROUND(E11*Supuestos!$B$3,0)</f>
        <v>107</v>
      </c>
      <c r="H11" s="6" t="n">
        <f aca="false">ROUND(E11*Supuestos!$B$2,0)</f>
        <v>418</v>
      </c>
      <c r="I11" s="5"/>
    </row>
    <row r="12" customFormat="false" ht="15" hidden="false" customHeight="false" outlineLevel="0" collapsed="false">
      <c r="A12" s="9" t="str">
        <f aca="false">URLs!A12</f>
        <v>P09</v>
      </c>
      <c r="B12" s="9" t="str">
        <f aca="false">URLs!C12</f>
        <v>https://frilo.dev/guias/recibir-pagos-en-dolares-colombia</v>
      </c>
      <c r="C12" s="9" t="str">
        <f aca="false">URLs!L12</f>
        <v>como recibir pagos en dolares en colombia</v>
      </c>
      <c r="D12" s="11" t="n">
        <f aca="false">URLs!N12</f>
        <v>10</v>
      </c>
      <c r="E12" s="11" t="n">
        <f aca="false">URLs!P12</f>
        <v>10</v>
      </c>
      <c r="F12" s="6" t="n">
        <f aca="false">ROUND(E12*Supuestos!$B$4,0)</f>
        <v>0</v>
      </c>
      <c r="G12" s="6" t="n">
        <f aca="false">ROUND(E12*Supuestos!$B$3,0)</f>
        <v>1</v>
      </c>
      <c r="H12" s="6" t="n">
        <f aca="false">ROUND(E12*Supuestos!$B$2,0)</f>
        <v>4</v>
      </c>
      <c r="I12" s="5"/>
    </row>
    <row r="13" customFormat="false" ht="15" hidden="false" customHeight="false" outlineLevel="0" collapsed="false">
      <c r="A13" s="9" t="str">
        <f aca="false">URLs!A13</f>
        <v>P10</v>
      </c>
      <c r="B13" s="9" t="str">
        <f aca="false">URLs!C13</f>
        <v>https://frilo.dev/calculadoras/interes-compuesto</v>
      </c>
      <c r="C13" s="9" t="str">
        <f aca="false">URLs!L13</f>
        <v>calculadora interés compuesto</v>
      </c>
      <c r="D13" s="11" t="n">
        <f aca="false">URLs!N13</f>
        <v>5400</v>
      </c>
      <c r="E13" s="11" t="n">
        <f aca="false">URLs!P13</f>
        <v>5500</v>
      </c>
      <c r="F13" s="6" t="n">
        <f aca="false">ROUND(E13*Supuestos!$B$4,0)</f>
        <v>88</v>
      </c>
      <c r="G13" s="6" t="n">
        <f aca="false">ROUND(E13*Supuestos!$B$3,0)</f>
        <v>561</v>
      </c>
      <c r="H13" s="6" t="n">
        <f aca="false">ROUND(E13*Supuestos!$B$2,0)</f>
        <v>2189</v>
      </c>
      <c r="I13" s="5"/>
    </row>
    <row r="14" customFormat="false" ht="15" hidden="false" customHeight="false" outlineLevel="0" collapsed="false">
      <c r="A14" s="9" t="str">
        <f aca="false">URLs!A14</f>
        <v>P11</v>
      </c>
      <c r="B14" s="9" t="str">
        <f aca="false">URLs!C14</f>
        <v>https://frilo.dev/guias/cuentas-de-ahorro-alto-rendimiento</v>
      </c>
      <c r="C14" s="9" t="str">
        <f aca="false">URLs!L14</f>
        <v>cuentas de ahorro de alto rendimiento</v>
      </c>
      <c r="D14" s="11" t="n">
        <f aca="false">URLs!N14</f>
        <v>880</v>
      </c>
      <c r="E14" s="11" t="n">
        <f aca="false">URLs!P14</f>
        <v>1730</v>
      </c>
      <c r="F14" s="6" t="n">
        <f aca="false">ROUND(E14*Supuestos!$B$4,0)</f>
        <v>28</v>
      </c>
      <c r="G14" s="6" t="n">
        <f aca="false">ROUND(E14*Supuestos!$B$3,0)</f>
        <v>176</v>
      </c>
      <c r="H14" s="6" t="n">
        <f aca="false">ROUND(E14*Supuestos!$B$2,0)</f>
        <v>689</v>
      </c>
      <c r="I14" s="5"/>
    </row>
    <row r="15" customFormat="false" ht="15" hidden="false" customHeight="false" outlineLevel="0" collapsed="false">
      <c r="A15" s="9" t="str">
        <f aca="false">URLs!A15</f>
        <v>P12</v>
      </c>
      <c r="B15" s="9" t="str">
        <f aca="false">URLs!C15</f>
        <v>https://frilo.dev/guias/cesantias-independientes</v>
      </c>
      <c r="C15" s="9" t="str">
        <f aca="false">URLs!L15</f>
        <v>cesantías para independientes</v>
      </c>
      <c r="D15" s="11" t="str">
        <f aca="false">URLs!N15</f>
        <v>s/d</v>
      </c>
      <c r="E15" s="11" t="n">
        <f aca="false">URLs!P15</f>
        <v>0</v>
      </c>
      <c r="F15" s="6" t="n">
        <f aca="false">ROUND(E15*Supuestos!$B$4,0)</f>
        <v>0</v>
      </c>
      <c r="G15" s="6" t="n">
        <f aca="false">ROUND(E15*Supuestos!$B$3,0)</f>
        <v>0</v>
      </c>
      <c r="H15" s="6" t="n">
        <f aca="false">ROUND(E15*Supuestos!$B$2,0)</f>
        <v>0</v>
      </c>
      <c r="I15" s="5" t="s">
        <v>406</v>
      </c>
    </row>
    <row r="16" customFormat="false" ht="15" hidden="false" customHeight="false" outlineLevel="0" collapsed="false">
      <c r="A16" s="9" t="str">
        <f aca="false">URLs!A16</f>
        <v>Hub-G</v>
      </c>
      <c r="B16" s="9" t="str">
        <f aca="false">URLs!C16</f>
        <v>https://frilo.dev/guias</v>
      </c>
      <c r="C16" s="9" t="str">
        <f aca="false">URLs!L16</f>
        <v>guías para independientes</v>
      </c>
      <c r="D16" s="11" t="str">
        <f aca="false">URLs!N16</f>
        <v>s/d</v>
      </c>
      <c r="E16" s="11" t="n">
        <f aca="false">URLs!P16</f>
        <v>0</v>
      </c>
      <c r="F16" s="6" t="n">
        <f aca="false">ROUND(E16*Supuestos!$B$4,0)</f>
        <v>0</v>
      </c>
      <c r="G16" s="6" t="n">
        <f aca="false">ROUND(E16*Supuestos!$B$3,0)</f>
        <v>0</v>
      </c>
      <c r="H16" s="6" t="n">
        <f aca="false">ROUND(E16*Supuestos!$B$2,0)</f>
        <v>0</v>
      </c>
      <c r="I16" s="5" t="s">
        <v>406</v>
      </c>
    </row>
    <row r="17" customFormat="false" ht="15" hidden="false" customHeight="false" outlineLevel="0" collapsed="false">
      <c r="A17" s="9" t="str">
        <f aca="false">URLs!A17</f>
        <v>Hub-Glo</v>
      </c>
      <c r="B17" s="9" t="str">
        <f aca="false">URLs!C17</f>
        <v>https://frilo.dev/glosario</v>
      </c>
      <c r="C17" s="9" t="str">
        <f aca="false">URLs!L17</f>
        <v>glosario seguridad social</v>
      </c>
      <c r="D17" s="11" t="str">
        <f aca="false">URLs!N17</f>
        <v>s/d</v>
      </c>
      <c r="E17" s="11" t="n">
        <f aca="false">URLs!P17</f>
        <v>0</v>
      </c>
      <c r="F17" s="6" t="n">
        <f aca="false">ROUND(E17*Supuestos!$B$4,0)</f>
        <v>0</v>
      </c>
      <c r="G17" s="6" t="n">
        <f aca="false">ROUND(E17*Supuestos!$B$3,0)</f>
        <v>0</v>
      </c>
      <c r="H17" s="6" t="n">
        <f aca="false">ROUND(E17*Supuestos!$B$2,0)</f>
        <v>0</v>
      </c>
      <c r="I17" s="5" t="s">
        <v>406</v>
      </c>
    </row>
    <row r="18" customFormat="false" ht="15" hidden="false" customHeight="false" outlineLevel="0" collapsed="false">
      <c r="A18" s="12"/>
      <c r="B18" s="12"/>
      <c r="C18" s="12" t="s">
        <v>408</v>
      </c>
      <c r="D18" s="12"/>
      <c r="E18" s="13" t="n">
        <f aca="false">SUM(E2:E17)</f>
        <v>3108580</v>
      </c>
      <c r="F18" s="13" t="n">
        <f aca="false">SUM(F2:F17)</f>
        <v>49737</v>
      </c>
      <c r="G18" s="13" t="n">
        <f aca="false">SUM(G2:G17)</f>
        <v>317074</v>
      </c>
      <c r="H18" s="13" t="n">
        <f aca="false">SUM(H2:H17)</f>
        <v>1237216</v>
      </c>
      <c r="I18" s="12"/>
    </row>
    <row r="19" customFormat="false" ht="15" hidden="false" customHeight="false" outlineLevel="0" collapsed="false">
      <c r="A19" s="12"/>
      <c r="B19" s="12"/>
      <c r="C19" s="12" t="s">
        <v>409</v>
      </c>
      <c r="D19" s="12"/>
      <c r="E19" s="13" t="n">
        <f aca="false">E18-SUMIFS(E2:E17,A2:A17,"P07")</f>
        <v>14980</v>
      </c>
      <c r="F19" s="13" t="n">
        <f aca="false">F18-SUMIFS(F2:F17,A2:A17,"P07")</f>
        <v>239</v>
      </c>
      <c r="G19" s="13" t="n">
        <f aca="false">G18-SUMIFS(G2:G17,A2:A17,"P07")</f>
        <v>1527</v>
      </c>
      <c r="H19" s="13" t="n">
        <f aca="false">H18-SUMIFS(H2:H17,A2:A17,"P07")</f>
        <v>5963</v>
      </c>
      <c r="I19" s="12"/>
    </row>
    <row r="21" customFormat="false" ht="15" hidden="false" customHeight="false" outlineLevel="0" collapsed="false">
      <c r="A21" s="8" t="s">
        <v>410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36"/>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9" min="9" style="0" width="14"/>
    <col collapsed="false" customWidth="true" hidden="false" outlineLevel="0" max="13" min="10" style="0" width="9"/>
    <col collapsed="false" customWidth="true" hidden="false" outlineLevel="0" max="14" min="14" style="0" width="16"/>
    <col collapsed="false" customWidth="true" hidden="false" outlineLevel="0" max="15" min="15" style="0" width="14"/>
    <col collapsed="false" customWidth="true" hidden="false" outlineLevel="0" max="16" min="16" style="0" width="40"/>
  </cols>
  <sheetData>
    <row r="1" customFormat="false" ht="31.5" hidden="false" customHeight="true" outlineLevel="0" collapsed="false">
      <c r="A1" s="4" t="s">
        <v>17</v>
      </c>
      <c r="B1" s="4" t="s">
        <v>19</v>
      </c>
      <c r="C1" s="4" t="s">
        <v>28</v>
      </c>
      <c r="D1" s="4" t="s">
        <v>411</v>
      </c>
      <c r="E1" s="4" t="s">
        <v>412</v>
      </c>
      <c r="F1" s="4" t="s">
        <v>413</v>
      </c>
      <c r="G1" s="4" t="s">
        <v>414</v>
      </c>
      <c r="H1" s="4" t="s">
        <v>415</v>
      </c>
      <c r="I1" s="4" t="s">
        <v>416</v>
      </c>
      <c r="J1" s="4" t="s">
        <v>417</v>
      </c>
      <c r="K1" s="4" t="s">
        <v>418</v>
      </c>
      <c r="L1" s="4" t="s">
        <v>419</v>
      </c>
      <c r="M1" s="4" t="s">
        <v>420</v>
      </c>
      <c r="N1" s="4" t="s">
        <v>421</v>
      </c>
      <c r="O1" s="4" t="s">
        <v>422</v>
      </c>
      <c r="P1" s="4" t="s">
        <v>423</v>
      </c>
    </row>
    <row r="2" customFormat="false" ht="23.85" hidden="false" customHeight="false" outlineLevel="0" collapsed="false">
      <c r="A2" s="9" t="str">
        <f aca="false">URLs!A2</f>
        <v>Home</v>
      </c>
      <c r="B2" s="9" t="str">
        <f aca="false">URLs!C2</f>
        <v>https://frilo.dev/</v>
      </c>
      <c r="C2" s="9" t="str">
        <f aca="false">URLs!L2</f>
        <v>frilo</v>
      </c>
      <c r="D2" s="14" t="n">
        <v>46329</v>
      </c>
      <c r="E2" s="15" t="s">
        <v>51</v>
      </c>
      <c r="F2" s="14" t="n">
        <v>46331</v>
      </c>
      <c r="G2" s="15" t="n">
        <v>18</v>
      </c>
      <c r="H2" s="15" t="n">
        <v>42</v>
      </c>
      <c r="I2" s="15" t="n">
        <v>1350</v>
      </c>
      <c r="J2" s="16" t="n">
        <f aca="false">IF(OR(I2="",I2=0),"",H2/I2)</f>
        <v>0.0311111111111111</v>
      </c>
      <c r="K2" s="15" t="n">
        <v>2.1</v>
      </c>
      <c r="L2" s="15" t="n">
        <v>150</v>
      </c>
      <c r="M2" s="15" t="n">
        <v>0.04</v>
      </c>
      <c r="N2" s="5" t="str">
        <f aca="false">IF(OR(K2="",L2="",M2=""),"",IF(AND(K2&lt;=2.5,L2&lt;=200,M2&lt;=0.1),"Bueno",IF(OR(K2&gt;4,L2&gt;500,M2&gt;0.25),"Malo","Mejorable")))</f>
        <v>Bueno</v>
      </c>
      <c r="O2" s="14" t="n">
        <v>46357</v>
      </c>
      <c r="P2" s="15" t="s">
        <v>424</v>
      </c>
    </row>
    <row r="3" customFormat="false" ht="15" hidden="false" customHeight="false" outlineLevel="0" collapsed="false">
      <c r="A3" s="9" t="str">
        <f aca="false">URLs!A3</f>
        <v>Hub-C</v>
      </c>
      <c r="B3" s="9" t="str">
        <f aca="false">URLs!C3</f>
        <v>https://frilo.dev/calculadoras</v>
      </c>
      <c r="C3" s="9" t="str">
        <f aca="false">URLs!L3</f>
        <v>calculadoras para independientes</v>
      </c>
      <c r="D3" s="14"/>
      <c r="E3" s="15"/>
      <c r="F3" s="14"/>
      <c r="G3" s="15"/>
      <c r="H3" s="15"/>
      <c r="I3" s="15"/>
      <c r="J3" s="16" t="str">
        <f aca="false">IF(OR(I3="",I3=0),"",H3/I3)</f>
        <v/>
      </c>
      <c r="K3" s="15"/>
      <c r="L3" s="15"/>
      <c r="M3" s="15"/>
      <c r="N3" s="5" t="str">
        <f aca="false">IF(OR(K3="",L3="",M3=""),"",IF(AND(K3&lt;=2.5,L3&lt;=200,M3&lt;=0.1),"Bueno",IF(OR(K3&gt;4,L3&gt;500,M3&gt;0.25),"Malo","Mejorable")))</f>
        <v/>
      </c>
      <c r="O3" s="14"/>
      <c r="P3" s="15"/>
    </row>
    <row r="4" customFormat="false" ht="15" hidden="false" customHeight="false" outlineLevel="0" collapsed="false">
      <c r="A4" s="9" t="str">
        <f aca="false">URLs!A4</f>
        <v>P01</v>
      </c>
      <c r="B4" s="9" t="str">
        <f aca="false">URLs!C4</f>
        <v>https://frilo.dev/calculadoras/aportes-independientes</v>
      </c>
      <c r="C4" s="9" t="str">
        <f aca="false">URLs!L4</f>
        <v>calculadora de aportes</v>
      </c>
      <c r="D4" s="14"/>
      <c r="E4" s="15"/>
      <c r="F4" s="14"/>
      <c r="G4" s="15"/>
      <c r="H4" s="15"/>
      <c r="I4" s="15"/>
      <c r="J4" s="16" t="str">
        <f aca="false">IF(OR(I4="",I4=0),"",H4/I4)</f>
        <v/>
      </c>
      <c r="K4" s="15"/>
      <c r="L4" s="15"/>
      <c r="M4" s="15"/>
      <c r="N4" s="5" t="str">
        <f aca="false">IF(OR(K4="",L4="",M4=""),"",IF(AND(K4&lt;=2.5,L4&lt;=200,M4&lt;=0.1),"Bueno",IF(OR(K4&gt;4,L4&gt;500,M4&gt;0.25),"Malo","Mejorable")))</f>
        <v/>
      </c>
      <c r="O4" s="14"/>
      <c r="P4" s="15"/>
    </row>
    <row r="5" customFormat="false" ht="15" hidden="false" customHeight="false" outlineLevel="0" collapsed="false">
      <c r="A5" s="9" t="str">
        <f aca="false">URLs!A5</f>
        <v>P02</v>
      </c>
      <c r="B5" s="9" t="str">
        <f aca="false">URLs!C5</f>
        <v>https://frilo.dev/guias/ibc-independientes</v>
      </c>
      <c r="C5" s="9" t="str">
        <f aca="false">URLs!L5</f>
        <v>ibc para independientes</v>
      </c>
      <c r="D5" s="14"/>
      <c r="E5" s="15"/>
      <c r="F5" s="14"/>
      <c r="G5" s="15"/>
      <c r="H5" s="15"/>
      <c r="I5" s="15"/>
      <c r="J5" s="16" t="str">
        <f aca="false">IF(OR(I5="",I5=0),"",H5/I5)</f>
        <v/>
      </c>
      <c r="K5" s="15"/>
      <c r="L5" s="15"/>
      <c r="M5" s="15"/>
      <c r="N5" s="5" t="str">
        <f aca="false">IF(OR(K5="",L5="",M5=""),"",IF(AND(K5&lt;=2.5,L5&lt;=200,M5&lt;=0.1),"Bueno",IF(OR(K5&gt;4,L5&gt;500,M5&gt;0.25),"Malo","Mejorable")))</f>
        <v/>
      </c>
      <c r="O5" s="14"/>
      <c r="P5" s="15"/>
    </row>
    <row r="6" customFormat="false" ht="15" hidden="false" customHeight="false" outlineLevel="0" collapsed="false">
      <c r="A6" s="9" t="str">
        <f aca="false">URLs!A6</f>
        <v>P03</v>
      </c>
      <c r="B6" s="9" t="str">
        <f aca="false">URLs!C6</f>
        <v>https://frilo.dev/calculadoras/cesantias</v>
      </c>
      <c r="C6" s="9" t="str">
        <f aca="false">URLs!L6</f>
        <v>calculadora de intereses de cesantías</v>
      </c>
      <c r="D6" s="14"/>
      <c r="E6" s="15"/>
      <c r="F6" s="14"/>
      <c r="G6" s="15"/>
      <c r="H6" s="15"/>
      <c r="I6" s="15"/>
      <c r="J6" s="16" t="str">
        <f aca="false">IF(OR(I6="",I6=0),"",H6/I6)</f>
        <v/>
      </c>
      <c r="K6" s="15"/>
      <c r="L6" s="15"/>
      <c r="M6" s="15"/>
      <c r="N6" s="5" t="str">
        <f aca="false">IF(OR(K6="",L6="",M6=""),"",IF(AND(K6&lt;=2.5,L6&lt;=200,M6&lt;=0.1),"Bueno",IF(OR(K6&gt;4,L6&gt;500,M6&gt;0.25),"Malo","Mejorable")))</f>
        <v/>
      </c>
      <c r="O6" s="14"/>
      <c r="P6" s="15"/>
    </row>
    <row r="7" customFormat="false" ht="15" hidden="false" customHeight="false" outlineLevel="0" collapsed="false">
      <c r="A7" s="9" t="str">
        <f aca="false">URLs!A7</f>
        <v>P04</v>
      </c>
      <c r="B7" s="9" t="str">
        <f aca="false">URLs!C7</f>
        <v>https://frilo.dev/guias/descargar-planilla-seguridad-social</v>
      </c>
      <c r="C7" s="9" t="str">
        <f aca="false">URLs!L7</f>
        <v>descargar planilla de seguridad social</v>
      </c>
      <c r="D7" s="14"/>
      <c r="E7" s="15"/>
      <c r="F7" s="14"/>
      <c r="G7" s="15"/>
      <c r="H7" s="15"/>
      <c r="I7" s="15"/>
      <c r="J7" s="16" t="str">
        <f aca="false">IF(OR(I7="",I7=0),"",H7/I7)</f>
        <v/>
      </c>
      <c r="K7" s="15"/>
      <c r="L7" s="15"/>
      <c r="M7" s="15"/>
      <c r="N7" s="5" t="str">
        <f aca="false">IF(OR(K7="",L7="",M7=""),"",IF(AND(K7&lt;=2.5,L7&lt;=200,M7&lt;=0.1),"Bueno",IF(OR(K7&gt;4,L7&gt;500,M7&gt;0.25),"Malo","Mejorable")))</f>
        <v/>
      </c>
      <c r="O7" s="14"/>
      <c r="P7" s="15"/>
    </row>
    <row r="8" customFormat="false" ht="15" hidden="false" customHeight="false" outlineLevel="0" collapsed="false">
      <c r="A8" s="9" t="str">
        <f aca="false">URLs!A8</f>
        <v>P05</v>
      </c>
      <c r="B8" s="9" t="str">
        <f aca="false">URLs!C8</f>
        <v>https://frilo.dev/calculadoras/fecha-pago-planilla</v>
      </c>
      <c r="C8" s="9" t="str">
        <f aca="false">URLs!L8</f>
        <v>fecha de pago planilla seguridad social</v>
      </c>
      <c r="D8" s="14"/>
      <c r="E8" s="15"/>
      <c r="F8" s="14"/>
      <c r="G8" s="15"/>
      <c r="H8" s="15"/>
      <c r="I8" s="15"/>
      <c r="J8" s="16" t="str">
        <f aca="false">IF(OR(I8="",I8=0),"",H8/I8)</f>
        <v/>
      </c>
      <c r="K8" s="15"/>
      <c r="L8" s="15"/>
      <c r="M8" s="15"/>
      <c r="N8" s="5" t="str">
        <f aca="false">IF(OR(K8="",L8="",M8=""),"",IF(AND(K8&lt;=2.5,L8&lt;=200,M8&lt;=0.1),"Bueno",IF(OR(K8&gt;4,L8&gt;500,M8&gt;0.25),"Malo","Mejorable")))</f>
        <v/>
      </c>
      <c r="O8" s="14"/>
      <c r="P8" s="15"/>
    </row>
    <row r="9" customFormat="false" ht="15" hidden="false" customHeight="false" outlineLevel="0" collapsed="false">
      <c r="A9" s="9" t="str">
        <f aca="false">URLs!A9</f>
        <v>P06</v>
      </c>
      <c r="B9" s="9" t="str">
        <f aca="false">URLs!C9</f>
        <v>https://frilo.dev/glosario/sln</v>
      </c>
      <c r="C9" s="9" t="str">
        <f aca="false">URLs!L9</f>
        <v>sln en planilla de seguridad social</v>
      </c>
      <c r="D9" s="14"/>
      <c r="E9" s="15"/>
      <c r="F9" s="14"/>
      <c r="G9" s="15"/>
      <c r="H9" s="15"/>
      <c r="I9" s="15"/>
      <c r="J9" s="16" t="str">
        <f aca="false">IF(OR(I9="",I9=0),"",H9/I9)</f>
        <v/>
      </c>
      <c r="K9" s="15"/>
      <c r="L9" s="15"/>
      <c r="M9" s="15"/>
      <c r="N9" s="5" t="str">
        <f aca="false">IF(OR(K9="",L9="",M9=""),"",IF(AND(K9&lt;=2.5,L9&lt;=200,M9&lt;=0.1),"Bueno",IF(OR(K9&gt;4,L9&gt;500,M9&gt;0.25),"Malo","Mejorable")))</f>
        <v/>
      </c>
      <c r="O9" s="14"/>
      <c r="P9" s="15"/>
    </row>
    <row r="10" customFormat="false" ht="15" hidden="false" customHeight="false" outlineLevel="0" collapsed="false">
      <c r="A10" s="9" t="str">
        <f aca="false">URLs!A10</f>
        <v>P07</v>
      </c>
      <c r="B10" s="9" t="str">
        <f aca="false">URLs!C10</f>
        <v>https://frilo.dev/dolar-hoy</v>
      </c>
      <c r="C10" s="9" t="str">
        <f aca="false">URLs!L10</f>
        <v>dolar hoy colombia</v>
      </c>
      <c r="D10" s="14"/>
      <c r="E10" s="15"/>
      <c r="F10" s="14"/>
      <c r="G10" s="15"/>
      <c r="H10" s="15"/>
      <c r="I10" s="15"/>
      <c r="J10" s="16" t="str">
        <f aca="false">IF(OR(I10="",I10=0),"",H10/I10)</f>
        <v/>
      </c>
      <c r="K10" s="15"/>
      <c r="L10" s="15"/>
      <c r="M10" s="15"/>
      <c r="N10" s="5" t="str">
        <f aca="false">IF(OR(K10="",L10="",M10=""),"",IF(AND(K10&lt;=2.5,L10&lt;=200,M10&lt;=0.1),"Bueno",IF(OR(K10&gt;4,L10&gt;500,M10&gt;0.25),"Malo","Mejorable")))</f>
        <v/>
      </c>
      <c r="O10" s="14"/>
      <c r="P10" s="15"/>
    </row>
    <row r="11" customFormat="false" ht="15" hidden="false" customHeight="false" outlineLevel="0" collapsed="false">
      <c r="A11" s="9" t="str">
        <f aca="false">URLs!A11</f>
        <v>P08</v>
      </c>
      <c r="B11" s="9" t="str">
        <f aca="false">URLs!C11</f>
        <v>https://frilo.dev/guias/cuenta-en-dolares-colombia</v>
      </c>
      <c r="C11" s="9" t="str">
        <f aca="false">URLs!L11</f>
        <v>cuenta en dolares en colombia</v>
      </c>
      <c r="D11" s="14"/>
      <c r="E11" s="15"/>
      <c r="F11" s="14"/>
      <c r="G11" s="15"/>
      <c r="H11" s="15"/>
      <c r="I11" s="15"/>
      <c r="J11" s="16" t="str">
        <f aca="false">IF(OR(I11="",I11=0),"",H11/I11)</f>
        <v/>
      </c>
      <c r="K11" s="15"/>
      <c r="L11" s="15"/>
      <c r="M11" s="15"/>
      <c r="N11" s="5" t="str">
        <f aca="false">IF(OR(K11="",L11="",M11=""),"",IF(AND(K11&lt;=2.5,L11&lt;=200,M11&lt;=0.1),"Bueno",IF(OR(K11&gt;4,L11&gt;500,M11&gt;0.25),"Malo","Mejorable")))</f>
        <v/>
      </c>
      <c r="O11" s="14"/>
      <c r="P11" s="15"/>
    </row>
    <row r="12" customFormat="false" ht="15" hidden="false" customHeight="false" outlineLevel="0" collapsed="false">
      <c r="A12" s="9" t="str">
        <f aca="false">URLs!A12</f>
        <v>P09</v>
      </c>
      <c r="B12" s="9" t="str">
        <f aca="false">URLs!C12</f>
        <v>https://frilo.dev/guias/recibir-pagos-en-dolares-colombia</v>
      </c>
      <c r="C12" s="9" t="str">
        <f aca="false">URLs!L12</f>
        <v>como recibir pagos en dolares en colombia</v>
      </c>
      <c r="D12" s="14"/>
      <c r="E12" s="15"/>
      <c r="F12" s="14"/>
      <c r="G12" s="15"/>
      <c r="H12" s="15"/>
      <c r="I12" s="15"/>
      <c r="J12" s="16" t="str">
        <f aca="false">IF(OR(I12="",I12=0),"",H12/I12)</f>
        <v/>
      </c>
      <c r="K12" s="15"/>
      <c r="L12" s="15"/>
      <c r="M12" s="15"/>
      <c r="N12" s="5" t="str">
        <f aca="false">IF(OR(K12="",L12="",M12=""),"",IF(AND(K12&lt;=2.5,L12&lt;=200,M12&lt;=0.1),"Bueno",IF(OR(K12&gt;4,L12&gt;500,M12&gt;0.25),"Malo","Mejorable")))</f>
        <v/>
      </c>
      <c r="O12" s="14"/>
      <c r="P12" s="15"/>
    </row>
    <row r="13" customFormat="false" ht="15" hidden="false" customHeight="false" outlineLevel="0" collapsed="false">
      <c r="A13" s="9" t="str">
        <f aca="false">URLs!A13</f>
        <v>P10</v>
      </c>
      <c r="B13" s="9" t="str">
        <f aca="false">URLs!C13</f>
        <v>https://frilo.dev/calculadoras/interes-compuesto</v>
      </c>
      <c r="C13" s="9" t="str">
        <f aca="false">URLs!L13</f>
        <v>calculadora interés compuesto</v>
      </c>
      <c r="D13" s="14"/>
      <c r="E13" s="15"/>
      <c r="F13" s="14"/>
      <c r="G13" s="15"/>
      <c r="H13" s="15"/>
      <c r="I13" s="15"/>
      <c r="J13" s="16" t="str">
        <f aca="false">IF(OR(I13="",I13=0),"",H13/I13)</f>
        <v/>
      </c>
      <c r="K13" s="15"/>
      <c r="L13" s="15"/>
      <c r="M13" s="15"/>
      <c r="N13" s="5" t="str">
        <f aca="false">IF(OR(K13="",L13="",M13=""),"",IF(AND(K13&lt;=2.5,L13&lt;=200,M13&lt;=0.1),"Bueno",IF(OR(K13&gt;4,L13&gt;500,M13&gt;0.25),"Malo","Mejorable")))</f>
        <v/>
      </c>
      <c r="O13" s="14"/>
      <c r="P13" s="15"/>
    </row>
    <row r="14" customFormat="false" ht="15" hidden="false" customHeight="false" outlineLevel="0" collapsed="false">
      <c r="A14" s="9" t="str">
        <f aca="false">URLs!A14</f>
        <v>P11</v>
      </c>
      <c r="B14" s="9" t="str">
        <f aca="false">URLs!C14</f>
        <v>https://frilo.dev/guias/cuentas-de-ahorro-alto-rendimiento</v>
      </c>
      <c r="C14" s="9" t="str">
        <f aca="false">URLs!L14</f>
        <v>cuentas de ahorro de alto rendimiento</v>
      </c>
      <c r="D14" s="14"/>
      <c r="E14" s="15"/>
      <c r="F14" s="14"/>
      <c r="G14" s="15"/>
      <c r="H14" s="15"/>
      <c r="I14" s="15"/>
      <c r="J14" s="16" t="str">
        <f aca="false">IF(OR(I14="",I14=0),"",H14/I14)</f>
        <v/>
      </c>
      <c r="K14" s="15"/>
      <c r="L14" s="15"/>
      <c r="M14" s="15"/>
      <c r="N14" s="5" t="str">
        <f aca="false">IF(OR(K14="",L14="",M14=""),"",IF(AND(K14&lt;=2.5,L14&lt;=200,M14&lt;=0.1),"Bueno",IF(OR(K14&gt;4,L14&gt;500,M14&gt;0.25),"Malo","Mejorable")))</f>
        <v/>
      </c>
      <c r="O14" s="14"/>
      <c r="P14" s="15"/>
    </row>
    <row r="15" customFormat="false" ht="15" hidden="false" customHeight="false" outlineLevel="0" collapsed="false">
      <c r="A15" s="9" t="str">
        <f aca="false">URLs!A15</f>
        <v>P12</v>
      </c>
      <c r="B15" s="9" t="str">
        <f aca="false">URLs!C15</f>
        <v>https://frilo.dev/guias/cesantias-independientes</v>
      </c>
      <c r="C15" s="9" t="str">
        <f aca="false">URLs!L15</f>
        <v>cesantías para independientes</v>
      </c>
      <c r="D15" s="14"/>
      <c r="E15" s="15"/>
      <c r="F15" s="14"/>
      <c r="G15" s="15"/>
      <c r="H15" s="15"/>
      <c r="I15" s="15"/>
      <c r="J15" s="16" t="str">
        <f aca="false">IF(OR(I15="",I15=0),"",H15/I15)</f>
        <v/>
      </c>
      <c r="K15" s="15"/>
      <c r="L15" s="15"/>
      <c r="M15" s="15"/>
      <c r="N15" s="5" t="str">
        <f aca="false">IF(OR(K15="",L15="",M15=""),"",IF(AND(K15&lt;=2.5,L15&lt;=200,M15&lt;=0.1),"Bueno",IF(OR(K15&gt;4,L15&gt;500,M15&gt;0.25),"Malo","Mejorable")))</f>
        <v/>
      </c>
      <c r="O15" s="14"/>
      <c r="P15" s="15"/>
    </row>
    <row r="16" customFormat="false" ht="15" hidden="false" customHeight="false" outlineLevel="0" collapsed="false">
      <c r="A16" s="9" t="str">
        <f aca="false">URLs!A16</f>
        <v>Hub-G</v>
      </c>
      <c r="B16" s="9" t="str">
        <f aca="false">URLs!C16</f>
        <v>https://frilo.dev/guias</v>
      </c>
      <c r="C16" s="9" t="str">
        <f aca="false">URLs!L16</f>
        <v>guías para independientes</v>
      </c>
      <c r="D16" s="14"/>
      <c r="E16" s="15"/>
      <c r="F16" s="14"/>
      <c r="G16" s="15"/>
      <c r="H16" s="15"/>
      <c r="I16" s="15"/>
      <c r="J16" s="16" t="str">
        <f aca="false">IF(OR(I16="",I16=0),"",H16/I16)</f>
        <v/>
      </c>
      <c r="K16" s="15"/>
      <c r="L16" s="15"/>
      <c r="M16" s="15"/>
      <c r="N16" s="5" t="str">
        <f aca="false">IF(OR(K16="",L16="",M16=""),"",IF(AND(K16&lt;=2.5,L16&lt;=200,M16&lt;=0.1),"Bueno",IF(OR(K16&gt;4,L16&gt;500,M16&gt;0.25),"Malo","Mejorable")))</f>
        <v/>
      </c>
      <c r="O16" s="14"/>
      <c r="P16" s="15"/>
    </row>
    <row r="17" customFormat="false" ht="15" hidden="false" customHeight="false" outlineLevel="0" collapsed="false">
      <c r="A17" s="9" t="str">
        <f aca="false">URLs!A17</f>
        <v>Hub-Glo</v>
      </c>
      <c r="B17" s="9" t="str">
        <f aca="false">URLs!C17</f>
        <v>https://frilo.dev/glosario</v>
      </c>
      <c r="C17" s="9" t="str">
        <f aca="false">URLs!L17</f>
        <v>glosario seguridad social</v>
      </c>
      <c r="D17" s="14"/>
      <c r="E17" s="15"/>
      <c r="F17" s="14"/>
      <c r="G17" s="15"/>
      <c r="H17" s="15"/>
      <c r="I17" s="15"/>
      <c r="J17" s="16" t="str">
        <f aca="false">IF(OR(I17="",I17=0),"",H17/I17)</f>
        <v/>
      </c>
      <c r="K17" s="15"/>
      <c r="L17" s="15"/>
      <c r="M17" s="15"/>
      <c r="N17" s="5" t="str">
        <f aca="false">IF(OR(K17="",L17="",M17=""),"",IF(AND(K17&lt;=2.5,L17&lt;=200,M17&lt;=0.1),"Bueno",IF(OR(K17&gt;4,L17&gt;500,M17&gt;0.25),"Malo","Mejorable")))</f>
        <v/>
      </c>
      <c r="O17" s="14"/>
      <c r="P17" s="15"/>
    </row>
    <row r="18" customFormat="false" ht="15" hidden="false" customHeight="false" outlineLevel="0" collapsed="false">
      <c r="A18" s="9" t="str">
        <f aca="false">URLs!A18</f>
        <v>Inst-1</v>
      </c>
      <c r="B18" s="9" t="str">
        <f aca="false">URLs!C18</f>
        <v>https://frilo.dev/quienes-somos</v>
      </c>
      <c r="C18" s="9" t="str">
        <f aca="false">URLs!L18</f>
        <v>No aplica (marca)</v>
      </c>
      <c r="D18" s="14"/>
      <c r="E18" s="15"/>
      <c r="F18" s="14"/>
      <c r="G18" s="15"/>
      <c r="H18" s="15"/>
      <c r="I18" s="15"/>
      <c r="J18" s="16" t="str">
        <f aca="false">IF(OR(I18="",I18=0),"",H18/I18)</f>
        <v/>
      </c>
      <c r="K18" s="15"/>
      <c r="L18" s="15"/>
      <c r="M18" s="15"/>
      <c r="N18" s="5" t="str">
        <f aca="false">IF(OR(K18="",L18="",M18=""),"",IF(AND(K18&lt;=2.5,L18&lt;=200,M18&lt;=0.1),"Bueno",IF(OR(K18&gt;4,L18&gt;500,M18&gt;0.25),"Malo","Mejorable")))</f>
        <v/>
      </c>
      <c r="O18" s="14"/>
      <c r="P18" s="15"/>
    </row>
    <row r="19" customFormat="false" ht="15" hidden="false" customHeight="false" outlineLevel="0" collapsed="false">
      <c r="A19" s="9" t="str">
        <f aca="false">URLs!A19</f>
        <v>Inst-2</v>
      </c>
      <c r="B19" s="9" t="str">
        <f aca="false">URLs!C19</f>
        <v>https://frilo.dev/metodologia</v>
      </c>
      <c r="C19" s="9" t="str">
        <f aca="false">URLs!L19</f>
        <v>No aplica</v>
      </c>
      <c r="D19" s="14"/>
      <c r="E19" s="15"/>
      <c r="F19" s="14"/>
      <c r="G19" s="15"/>
      <c r="H19" s="15"/>
      <c r="I19" s="15"/>
      <c r="J19" s="16" t="str">
        <f aca="false">IF(OR(I19="",I19=0),"",H19/I19)</f>
        <v/>
      </c>
      <c r="K19" s="15"/>
      <c r="L19" s="15"/>
      <c r="M19" s="15"/>
      <c r="N19" s="5" t="str">
        <f aca="false">IF(OR(K19="",L19="",M19=""),"",IF(AND(K19&lt;=2.5,L19&lt;=200,M19&lt;=0.1),"Bueno",IF(OR(K19&gt;4,L19&gt;500,M19&gt;0.25),"Malo","Mejorable")))</f>
        <v/>
      </c>
      <c r="O19" s="14"/>
      <c r="P19" s="15"/>
    </row>
    <row r="20" customFormat="false" ht="15" hidden="false" customHeight="false" outlineLevel="0" collapsed="false">
      <c r="A20" s="9" t="str">
        <f aca="false">URLs!A20</f>
        <v>Inst-3</v>
      </c>
      <c r="B20" s="9" t="str">
        <f aca="false">URLs!C20</f>
        <v>https://frilo.dev/transparencia</v>
      </c>
      <c r="C20" s="9" t="str">
        <f aca="false">URLs!L20</f>
        <v>No aplica</v>
      </c>
      <c r="D20" s="14"/>
      <c r="E20" s="15"/>
      <c r="F20" s="14"/>
      <c r="G20" s="15"/>
      <c r="H20" s="15"/>
      <c r="I20" s="15"/>
      <c r="J20" s="16" t="str">
        <f aca="false">IF(OR(I20="",I20=0),"",H20/I20)</f>
        <v/>
      </c>
      <c r="K20" s="15"/>
      <c r="L20" s="15"/>
      <c r="M20" s="15"/>
      <c r="N20" s="5" t="str">
        <f aca="false">IF(OR(K20="",L20="",M20=""),"",IF(AND(K20&lt;=2.5,L20&lt;=200,M20&lt;=0.1),"Bueno",IF(OR(K20&gt;4,L20&gt;500,M20&gt;0.25),"Malo","Mejorable")))</f>
        <v/>
      </c>
      <c r="O20" s="14"/>
      <c r="P20" s="15"/>
    </row>
    <row r="21" customFormat="false" ht="15" hidden="false" customHeight="false" outlineLevel="0" collapsed="false">
      <c r="A21" s="9" t="str">
        <f aca="false">URLs!A21</f>
        <v>Legal-1</v>
      </c>
      <c r="B21" s="9" t="str">
        <f aca="false">URLs!C21</f>
        <v>https://frilo.dev/terminos</v>
      </c>
      <c r="C21" s="9" t="str">
        <f aca="false">URLs!L21</f>
        <v>No aplica</v>
      </c>
      <c r="D21" s="14"/>
      <c r="E21" s="15"/>
      <c r="F21" s="14"/>
      <c r="G21" s="15"/>
      <c r="H21" s="15"/>
      <c r="I21" s="15"/>
      <c r="J21" s="16" t="str">
        <f aca="false">IF(OR(I21="",I21=0),"",H21/I21)</f>
        <v/>
      </c>
      <c r="K21" s="15"/>
      <c r="L21" s="15"/>
      <c r="M21" s="15"/>
      <c r="N21" s="5" t="str">
        <f aca="false">IF(OR(K21="",L21="",M21=""),"",IF(AND(K21&lt;=2.5,L21&lt;=200,M21&lt;=0.1),"Bueno",IF(OR(K21&gt;4,L21&gt;500,M21&gt;0.25),"Malo","Mejorable")))</f>
        <v/>
      </c>
      <c r="O21" s="14"/>
      <c r="P21" s="15"/>
    </row>
    <row r="22" customFormat="false" ht="15" hidden="false" customHeight="false" outlineLevel="0" collapsed="false">
      <c r="A22" s="9" t="str">
        <f aca="false">URLs!A22</f>
        <v>Legal-2</v>
      </c>
      <c r="B22" s="9" t="str">
        <f aca="false">URLs!C22</f>
        <v>https://frilo.dev/politica-de-datos</v>
      </c>
      <c r="C22" s="9" t="str">
        <f aca="false">URLs!L22</f>
        <v>No aplica</v>
      </c>
      <c r="D22" s="14"/>
      <c r="E22" s="15"/>
      <c r="F22" s="14"/>
      <c r="G22" s="15"/>
      <c r="H22" s="15"/>
      <c r="I22" s="15"/>
      <c r="J22" s="16" t="str">
        <f aca="false">IF(OR(I22="",I22=0),"",H22/I22)</f>
        <v/>
      </c>
      <c r="K22" s="15"/>
      <c r="L22" s="15"/>
      <c r="M22" s="15"/>
      <c r="N22" s="5" t="str">
        <f aca="false">IF(OR(K22="",L22="",M22=""),"",IF(AND(K22&lt;=2.5,L22&lt;=200,M22&lt;=0.1),"Bueno",IF(OR(K22&gt;4,L22&gt;500,M22&gt;0.25),"Malo","Mejorable")))</f>
        <v/>
      </c>
      <c r="O22" s="14"/>
      <c r="P22" s="15"/>
    </row>
    <row r="24" customFormat="false" ht="15" hidden="false" customHeight="false" outlineLevel="0" collapsed="false">
      <c r="A24" s="8" t="s">
        <v>425</v>
      </c>
    </row>
  </sheetData>
  <dataValidations count="1">
    <dataValidation allowBlank="true" errorStyle="stop" operator="between" showDropDown="false" showErrorMessage="false" showInputMessage="false" sqref="E2:E22" type="list">
      <formula1>"Sí,No,Excluida"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2"/>
    <col collapsed="false" customWidth="true" hidden="false" outlineLevel="0" max="3" min="3" style="0" width="70"/>
  </cols>
  <sheetData>
    <row r="1" customFormat="false" ht="17.35" hidden="false" customHeight="false" outlineLevel="0" collapsed="false">
      <c r="A1" s="17" t="s">
        <v>426</v>
      </c>
    </row>
    <row r="3" customFormat="false" ht="15" hidden="false" customHeight="false" outlineLevel="0" collapsed="false">
      <c r="A3" s="18" t="s">
        <v>427</v>
      </c>
    </row>
    <row r="4" customFormat="false" ht="31.5" hidden="false" customHeight="true" outlineLevel="0" collapsed="false">
      <c r="A4" s="4" t="s">
        <v>428</v>
      </c>
      <c r="B4" s="4" t="s">
        <v>429</v>
      </c>
      <c r="C4" s="4" t="s">
        <v>430</v>
      </c>
    </row>
    <row r="5" customFormat="false" ht="109.5" hidden="false" customHeight="true" outlineLevel="0" collapsed="false">
      <c r="A5" s="12" t="s">
        <v>431</v>
      </c>
      <c r="B5" s="5" t="s">
        <v>432</v>
      </c>
      <c r="C5" s="5" t="s">
        <v>433</v>
      </c>
    </row>
    <row r="6" customFormat="false" ht="109.5" hidden="false" customHeight="true" outlineLevel="0" collapsed="false">
      <c r="A6" s="12" t="s">
        <v>434</v>
      </c>
      <c r="B6" s="5" t="s">
        <v>435</v>
      </c>
      <c r="C6" s="5" t="s">
        <v>436</v>
      </c>
    </row>
    <row r="8" customFormat="false" ht="15" hidden="false" customHeight="false" outlineLevel="0" collapsed="false">
      <c r="A8" s="18" t="s">
        <v>437</v>
      </c>
    </row>
    <row r="9" customFormat="false" ht="31.5" hidden="false" customHeight="true" outlineLevel="0" collapsed="false">
      <c r="A9" s="4" t="s">
        <v>438</v>
      </c>
      <c r="B9" s="4" t="s">
        <v>439</v>
      </c>
      <c r="C9" s="4" t="s">
        <v>440</v>
      </c>
    </row>
    <row r="10" customFormat="false" ht="69.75" hidden="false" customHeight="true" outlineLevel="0" collapsed="false">
      <c r="A10" s="12" t="s">
        <v>441</v>
      </c>
      <c r="B10" s="5" t="s">
        <v>442</v>
      </c>
      <c r="C10" s="5" t="s">
        <v>443</v>
      </c>
    </row>
    <row r="11" customFormat="false" ht="69.75" hidden="false" customHeight="true" outlineLevel="0" collapsed="false">
      <c r="A11" s="12" t="s">
        <v>444</v>
      </c>
      <c r="B11" s="5" t="s">
        <v>445</v>
      </c>
      <c r="C11" s="5" t="s">
        <v>446</v>
      </c>
    </row>
    <row r="12" customFormat="false" ht="69.75" hidden="false" customHeight="true" outlineLevel="0" collapsed="false">
      <c r="A12" s="12" t="s">
        <v>447</v>
      </c>
      <c r="B12" s="5" t="s">
        <v>448</v>
      </c>
      <c r="C12" s="5" t="s">
        <v>449</v>
      </c>
    </row>
    <row r="13" customFormat="false" ht="69.75" hidden="false" customHeight="true" outlineLevel="0" collapsed="false">
      <c r="A13" s="12" t="s">
        <v>450</v>
      </c>
      <c r="B13" s="5" t="s">
        <v>451</v>
      </c>
      <c r="C13" s="5" t="s">
        <v>452</v>
      </c>
    </row>
    <row r="15" customFormat="false" ht="15" hidden="false" customHeight="false" outlineLevel="0" collapsed="false">
      <c r="A15" s="18" t="s">
        <v>453</v>
      </c>
    </row>
    <row r="16" customFormat="false" ht="31.5" hidden="false" customHeight="true" outlineLevel="0" collapsed="false">
      <c r="A16" s="4" t="s">
        <v>454</v>
      </c>
      <c r="B16" s="4" t="s">
        <v>455</v>
      </c>
      <c r="C16" s="4" t="s">
        <v>405</v>
      </c>
    </row>
    <row r="17" customFormat="false" ht="60" hidden="false" customHeight="true" outlineLevel="0" collapsed="false">
      <c r="A17" s="5" t="s">
        <v>456</v>
      </c>
      <c r="B17" s="5" t="s">
        <v>457</v>
      </c>
      <c r="C17" s="5" t="s">
        <v>458</v>
      </c>
    </row>
    <row r="18" customFormat="false" ht="60" hidden="false" customHeight="true" outlineLevel="0" collapsed="false">
      <c r="A18" s="5" t="s">
        <v>459</v>
      </c>
      <c r="B18" s="5" t="s">
        <v>460</v>
      </c>
      <c r="C18" s="5" t="s">
        <v>461</v>
      </c>
    </row>
    <row r="19" customFormat="false" ht="60" hidden="false" customHeight="true" outlineLevel="0" collapsed="false">
      <c r="A19" s="5" t="s">
        <v>462</v>
      </c>
      <c r="B19" s="5" t="s">
        <v>463</v>
      </c>
      <c r="C19" s="5" t="s">
        <v>464</v>
      </c>
    </row>
    <row r="20" customFormat="false" ht="60" hidden="false" customHeight="true" outlineLevel="0" collapsed="false">
      <c r="A20" s="5" t="s">
        <v>465</v>
      </c>
      <c r="B20" s="5" t="s">
        <v>466</v>
      </c>
      <c r="C20" s="5" t="s">
        <v>467</v>
      </c>
    </row>
    <row r="21" customFormat="false" ht="60" hidden="false" customHeight="true" outlineLevel="0" collapsed="false">
      <c r="A21" s="5" t="s">
        <v>468</v>
      </c>
      <c r="B21" s="5" t="s">
        <v>469</v>
      </c>
      <c r="C21" s="5" t="s">
        <v>470</v>
      </c>
    </row>
    <row r="22" customFormat="false" ht="60" hidden="false" customHeight="true" outlineLevel="0" collapsed="false">
      <c r="A22" s="5" t="s">
        <v>471</v>
      </c>
      <c r="B22" s="5" t="s">
        <v>472</v>
      </c>
      <c r="C22" s="5" t="s">
        <v>473</v>
      </c>
    </row>
    <row r="23" customFormat="false" ht="60" hidden="false" customHeight="true" outlineLevel="0" collapsed="false">
      <c r="A23" s="5" t="s">
        <v>474</v>
      </c>
      <c r="B23" s="5" t="s">
        <v>475</v>
      </c>
      <c r="C23" s="5" t="s">
        <v>476</v>
      </c>
    </row>
    <row r="25" customFormat="false" ht="15" hidden="false" customHeight="false" outlineLevel="0" collapsed="false">
      <c r="A25" s="18" t="s">
        <v>477</v>
      </c>
    </row>
    <row r="26" customFormat="false" ht="31.5" hidden="false" customHeight="true" outlineLevel="0" collapsed="false">
      <c r="A26" s="4" t="s">
        <v>439</v>
      </c>
      <c r="B26" s="4" t="s">
        <v>478</v>
      </c>
      <c r="C26" s="4" t="s">
        <v>405</v>
      </c>
    </row>
    <row r="27" customFormat="false" ht="45" hidden="false" customHeight="true" outlineLevel="0" collapsed="false">
      <c r="A27" s="5" t="s">
        <v>479</v>
      </c>
      <c r="B27" s="5" t="s">
        <v>480</v>
      </c>
      <c r="C27" s="5" t="s">
        <v>481</v>
      </c>
    </row>
    <row r="28" customFormat="false" ht="45" hidden="false" customHeight="true" outlineLevel="0" collapsed="false">
      <c r="A28" s="5" t="s">
        <v>482</v>
      </c>
      <c r="B28" s="5" t="s">
        <v>483</v>
      </c>
      <c r="C28" s="5" t="s">
        <v>484</v>
      </c>
    </row>
    <row r="29" customFormat="false" ht="45" hidden="false" customHeight="true" outlineLevel="0" collapsed="false">
      <c r="A29" s="5" t="s">
        <v>485</v>
      </c>
      <c r="B29" s="5" t="s">
        <v>486</v>
      </c>
      <c r="C29" s="5" t="s">
        <v>487</v>
      </c>
    </row>
    <row r="30" customFormat="false" ht="45" hidden="false" customHeight="true" outlineLevel="0" collapsed="false">
      <c r="A30" s="5" t="s">
        <v>488</v>
      </c>
      <c r="B30" s="5" t="s">
        <v>489</v>
      </c>
      <c r="C30" s="5" t="s">
        <v>490</v>
      </c>
    </row>
    <row r="31" customFormat="false" ht="45" hidden="false" customHeight="true" outlineLevel="0" collapsed="false">
      <c r="A31" s="5" t="s">
        <v>491</v>
      </c>
      <c r="B31" s="5" t="s">
        <v>492</v>
      </c>
      <c r="C31" s="5" t="s">
        <v>493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3" min="3" style="0" width="90"/>
  </cols>
  <sheetData>
    <row r="1" customFormat="false" ht="31.5" hidden="false" customHeight="true" outlineLevel="0" collapsed="false">
      <c r="A1" s="4" t="s">
        <v>494</v>
      </c>
      <c r="B1" s="4" t="s">
        <v>495</v>
      </c>
      <c r="C1" s="4" t="s">
        <v>496</v>
      </c>
    </row>
    <row r="2" customFormat="false" ht="23.85" hidden="false" customHeight="false" outlineLevel="0" collapsed="false">
      <c r="A2" s="5" t="s">
        <v>497</v>
      </c>
      <c r="B2" s="19" t="n">
        <v>0.398</v>
      </c>
      <c r="C2" s="5" t="s">
        <v>498</v>
      </c>
    </row>
    <row r="3" customFormat="false" ht="23.85" hidden="false" customHeight="false" outlineLevel="0" collapsed="false">
      <c r="A3" s="5" t="s">
        <v>499</v>
      </c>
      <c r="B3" s="19" t="n">
        <v>0.102</v>
      </c>
      <c r="C3" s="5" t="s">
        <v>498</v>
      </c>
    </row>
    <row r="4" customFormat="false" ht="23.85" hidden="false" customHeight="false" outlineLevel="0" collapsed="false">
      <c r="A4" s="5" t="s">
        <v>500</v>
      </c>
      <c r="B4" s="19" t="n">
        <v>0.016</v>
      </c>
      <c r="C4" s="5" t="s">
        <v>498</v>
      </c>
    </row>
    <row r="5" customFormat="false" ht="23.85" hidden="false" customHeight="true" outlineLevel="0" collapsed="false">
      <c r="A5" s="5" t="s">
        <v>405</v>
      </c>
      <c r="B5" s="20" t="s">
        <v>501</v>
      </c>
      <c r="C5" s="20"/>
    </row>
  </sheetData>
  <mergeCells count="1">
    <mergeCell ref="B5:C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6"/>
    <col collapsed="false" customWidth="true" hidden="false" outlineLevel="0" max="3" min="3" style="0" width="10"/>
    <col collapsed="false" customWidth="true" hidden="false" outlineLevel="0" max="4" min="4" style="0" width="18"/>
    <col collapsed="false" customWidth="true" hidden="false" outlineLevel="0" max="5" min="5" style="0" width="14"/>
    <col collapsed="false" customWidth="true" hidden="false" outlineLevel="0" max="6" min="6" style="0" width="13"/>
    <col collapsed="false" customWidth="true" hidden="false" outlineLevel="0" max="7" min="7" style="0" width="8"/>
  </cols>
  <sheetData>
    <row r="1" customFormat="false" ht="31.5" hidden="false" customHeight="true" outlineLevel="0" collapsed="false">
      <c r="A1" s="4" t="s">
        <v>502</v>
      </c>
      <c r="B1" s="4" t="s">
        <v>503</v>
      </c>
      <c r="C1" s="4" t="s">
        <v>504</v>
      </c>
      <c r="D1" s="4" t="s">
        <v>505</v>
      </c>
      <c r="E1" s="4" t="s">
        <v>506</v>
      </c>
      <c r="F1" s="4" t="s">
        <v>507</v>
      </c>
      <c r="G1" s="4" t="s">
        <v>31</v>
      </c>
    </row>
    <row r="2" customFormat="false" ht="15" hidden="false" customHeight="false" outlineLevel="0" collapsed="false">
      <c r="A2" s="5" t="s">
        <v>87</v>
      </c>
      <c r="B2" s="5" t="s">
        <v>508</v>
      </c>
      <c r="C2" s="5" t="s">
        <v>81</v>
      </c>
      <c r="D2" s="5" t="s">
        <v>509</v>
      </c>
      <c r="E2" s="5" t="s">
        <v>510</v>
      </c>
      <c r="F2" s="6" t="n">
        <v>2400</v>
      </c>
      <c r="G2" s="5" t="n">
        <v>0</v>
      </c>
    </row>
    <row r="3" customFormat="false" ht="15" hidden="false" customHeight="false" outlineLevel="0" collapsed="false">
      <c r="A3" s="5" t="s">
        <v>511</v>
      </c>
      <c r="B3" s="5" t="s">
        <v>508</v>
      </c>
      <c r="C3" s="5" t="s">
        <v>81</v>
      </c>
      <c r="D3" s="5" t="s">
        <v>512</v>
      </c>
      <c r="E3" s="5" t="s">
        <v>510</v>
      </c>
      <c r="F3" s="6" t="n">
        <v>70</v>
      </c>
      <c r="G3" s="5"/>
    </row>
    <row r="4" customFormat="false" ht="15" hidden="false" customHeight="false" outlineLevel="0" collapsed="false">
      <c r="A4" s="5" t="s">
        <v>513</v>
      </c>
      <c r="B4" s="5" t="s">
        <v>508</v>
      </c>
      <c r="C4" s="5" t="s">
        <v>81</v>
      </c>
      <c r="D4" s="5" t="s">
        <v>512</v>
      </c>
      <c r="E4" s="5" t="s">
        <v>510</v>
      </c>
      <c r="F4" s="6" t="n">
        <v>40</v>
      </c>
      <c r="G4" s="5"/>
    </row>
    <row r="5" customFormat="false" ht="15" hidden="false" customHeight="false" outlineLevel="0" collapsed="false">
      <c r="A5" s="5" t="s">
        <v>514</v>
      </c>
      <c r="B5" s="5" t="s">
        <v>508</v>
      </c>
      <c r="C5" s="5" t="s">
        <v>81</v>
      </c>
      <c r="D5" s="5" t="s">
        <v>512</v>
      </c>
      <c r="E5" s="5" t="s">
        <v>510</v>
      </c>
      <c r="F5" s="6" t="n">
        <v>30</v>
      </c>
      <c r="G5" s="5"/>
    </row>
    <row r="6" customFormat="false" ht="15" hidden="false" customHeight="false" outlineLevel="0" collapsed="false">
      <c r="A6" s="5" t="s">
        <v>515</v>
      </c>
      <c r="B6" s="5" t="s">
        <v>508</v>
      </c>
      <c r="C6" s="5" t="s">
        <v>81</v>
      </c>
      <c r="D6" s="5" t="s">
        <v>516</v>
      </c>
      <c r="E6" s="5" t="s">
        <v>510</v>
      </c>
      <c r="F6" s="6" t="n">
        <v>30</v>
      </c>
      <c r="G6" s="5"/>
    </row>
    <row r="7" customFormat="false" ht="15" hidden="false" customHeight="false" outlineLevel="0" collapsed="false">
      <c r="A7" s="5" t="s">
        <v>517</v>
      </c>
      <c r="B7" s="5" t="s">
        <v>508</v>
      </c>
      <c r="C7" s="5" t="s">
        <v>81</v>
      </c>
      <c r="D7" s="5" t="s">
        <v>516</v>
      </c>
      <c r="E7" s="5" t="s">
        <v>510</v>
      </c>
      <c r="F7" s="6" t="n">
        <v>10</v>
      </c>
      <c r="G7" s="5"/>
    </row>
    <row r="8" customFormat="false" ht="15" hidden="false" customHeight="false" outlineLevel="0" collapsed="false">
      <c r="A8" s="5" t="s">
        <v>518</v>
      </c>
      <c r="B8" s="5" t="s">
        <v>508</v>
      </c>
      <c r="C8" s="5" t="s">
        <v>81</v>
      </c>
      <c r="D8" s="5" t="s">
        <v>516</v>
      </c>
      <c r="E8" s="5" t="s">
        <v>510</v>
      </c>
      <c r="F8" s="6"/>
      <c r="G8" s="5"/>
    </row>
    <row r="9" customFormat="false" ht="15" hidden="false" customHeight="false" outlineLevel="0" collapsed="false">
      <c r="A9" s="5" t="s">
        <v>519</v>
      </c>
      <c r="B9" s="5" t="s">
        <v>508</v>
      </c>
      <c r="C9" s="5" t="s">
        <v>81</v>
      </c>
      <c r="D9" s="5" t="s">
        <v>520</v>
      </c>
      <c r="E9" s="5" t="s">
        <v>521</v>
      </c>
      <c r="F9" s="6" t="n">
        <v>170</v>
      </c>
      <c r="G9" s="5" t="n">
        <v>0</v>
      </c>
    </row>
    <row r="10" customFormat="false" ht="15" hidden="false" customHeight="false" outlineLevel="0" collapsed="false">
      <c r="A10" s="5" t="s">
        <v>522</v>
      </c>
      <c r="B10" s="5" t="s">
        <v>508</v>
      </c>
      <c r="C10" s="5" t="s">
        <v>81</v>
      </c>
      <c r="D10" s="5" t="s">
        <v>520</v>
      </c>
      <c r="E10" s="5" t="s">
        <v>521</v>
      </c>
      <c r="F10" s="6" t="n">
        <v>90</v>
      </c>
      <c r="G10" s="5"/>
    </row>
    <row r="11" customFormat="false" ht="15" hidden="false" customHeight="false" outlineLevel="0" collapsed="false">
      <c r="A11" s="5" t="s">
        <v>523</v>
      </c>
      <c r="B11" s="5" t="s">
        <v>508</v>
      </c>
      <c r="C11" s="5" t="s">
        <v>81</v>
      </c>
      <c r="D11" s="5" t="s">
        <v>520</v>
      </c>
      <c r="E11" s="5" t="s">
        <v>521</v>
      </c>
      <c r="F11" s="6" t="n">
        <v>30</v>
      </c>
      <c r="G11" s="5"/>
    </row>
    <row r="12" customFormat="false" ht="15" hidden="false" customHeight="false" outlineLevel="0" collapsed="false">
      <c r="A12" s="5" t="s">
        <v>524</v>
      </c>
      <c r="B12" s="5" t="s">
        <v>508</v>
      </c>
      <c r="C12" s="5" t="s">
        <v>81</v>
      </c>
      <c r="D12" s="5" t="s">
        <v>520</v>
      </c>
      <c r="E12" s="5" t="s">
        <v>521</v>
      </c>
      <c r="F12" s="6" t="n">
        <v>30</v>
      </c>
      <c r="G12" s="5"/>
    </row>
    <row r="13" customFormat="false" ht="15" hidden="false" customHeight="false" outlineLevel="0" collapsed="false">
      <c r="A13" s="5" t="s">
        <v>525</v>
      </c>
      <c r="B13" s="5" t="s">
        <v>508</v>
      </c>
      <c r="C13" s="5" t="s">
        <v>81</v>
      </c>
      <c r="D13" s="5" t="s">
        <v>520</v>
      </c>
      <c r="E13" s="5" t="s">
        <v>521</v>
      </c>
      <c r="F13" s="6" t="n">
        <v>10</v>
      </c>
      <c r="G13" s="5"/>
    </row>
    <row r="14" customFormat="false" ht="15" hidden="false" customHeight="false" outlineLevel="0" collapsed="false">
      <c r="A14" s="5" t="s">
        <v>526</v>
      </c>
      <c r="B14" s="5" t="s">
        <v>508</v>
      </c>
      <c r="C14" s="5" t="s">
        <v>81</v>
      </c>
      <c r="D14" s="5" t="s">
        <v>527</v>
      </c>
      <c r="E14" s="5" t="s">
        <v>510</v>
      </c>
      <c r="F14" s="6" t="n">
        <v>20</v>
      </c>
      <c r="G14" s="5"/>
    </row>
    <row r="15" customFormat="false" ht="15" hidden="false" customHeight="false" outlineLevel="0" collapsed="false">
      <c r="A15" s="5" t="s">
        <v>102</v>
      </c>
      <c r="B15" s="5" t="s">
        <v>528</v>
      </c>
      <c r="C15" s="5" t="s">
        <v>96</v>
      </c>
      <c r="D15" s="5" t="s">
        <v>509</v>
      </c>
      <c r="E15" s="5" t="s">
        <v>529</v>
      </c>
      <c r="F15" s="6" t="n">
        <v>90</v>
      </c>
      <c r="G15" s="5" t="n">
        <v>0</v>
      </c>
    </row>
    <row r="16" customFormat="false" ht="15" hidden="false" customHeight="false" outlineLevel="0" collapsed="false">
      <c r="A16" s="5" t="s">
        <v>530</v>
      </c>
      <c r="B16" s="5" t="s">
        <v>528</v>
      </c>
      <c r="C16" s="5" t="s">
        <v>96</v>
      </c>
      <c r="D16" s="5" t="s">
        <v>512</v>
      </c>
      <c r="E16" s="5" t="s">
        <v>510</v>
      </c>
      <c r="F16" s="6" t="n">
        <v>110</v>
      </c>
      <c r="G16" s="5"/>
    </row>
    <row r="17" customFormat="false" ht="15" hidden="false" customHeight="false" outlineLevel="0" collapsed="false">
      <c r="A17" s="5" t="s">
        <v>531</v>
      </c>
      <c r="B17" s="5" t="s">
        <v>528</v>
      </c>
      <c r="C17" s="5" t="s">
        <v>96</v>
      </c>
      <c r="D17" s="5" t="s">
        <v>512</v>
      </c>
      <c r="E17" s="5" t="s">
        <v>529</v>
      </c>
      <c r="F17" s="6" t="n">
        <v>90</v>
      </c>
      <c r="G17" s="5"/>
    </row>
    <row r="18" customFormat="false" ht="15" hidden="false" customHeight="false" outlineLevel="0" collapsed="false">
      <c r="A18" s="5" t="s">
        <v>532</v>
      </c>
      <c r="B18" s="5" t="s">
        <v>528</v>
      </c>
      <c r="C18" s="5" t="s">
        <v>96</v>
      </c>
      <c r="D18" s="5" t="s">
        <v>516</v>
      </c>
      <c r="E18" s="5" t="s">
        <v>529</v>
      </c>
      <c r="F18" s="6" t="n">
        <v>30</v>
      </c>
      <c r="G18" s="5"/>
    </row>
    <row r="19" customFormat="false" ht="15" hidden="false" customHeight="false" outlineLevel="0" collapsed="false">
      <c r="A19" s="5" t="s">
        <v>533</v>
      </c>
      <c r="B19" s="5" t="s">
        <v>528</v>
      </c>
      <c r="C19" s="5" t="s">
        <v>96</v>
      </c>
      <c r="D19" s="5" t="s">
        <v>516</v>
      </c>
      <c r="E19" s="5" t="s">
        <v>529</v>
      </c>
      <c r="F19" s="6" t="n">
        <v>20</v>
      </c>
      <c r="G19" s="5"/>
    </row>
    <row r="20" customFormat="false" ht="15" hidden="false" customHeight="false" outlineLevel="0" collapsed="false">
      <c r="A20" s="5" t="s">
        <v>534</v>
      </c>
      <c r="B20" s="5" t="s">
        <v>528</v>
      </c>
      <c r="C20" s="5" t="s">
        <v>96</v>
      </c>
      <c r="D20" s="5" t="s">
        <v>527</v>
      </c>
      <c r="E20" s="5" t="s">
        <v>529</v>
      </c>
      <c r="F20" s="6" t="n">
        <v>90</v>
      </c>
      <c r="G20" s="5"/>
    </row>
    <row r="21" customFormat="false" ht="15" hidden="false" customHeight="false" outlineLevel="0" collapsed="false">
      <c r="A21" s="5" t="s">
        <v>117</v>
      </c>
      <c r="B21" s="5" t="s">
        <v>535</v>
      </c>
      <c r="C21" s="5" t="s">
        <v>112</v>
      </c>
      <c r="D21" s="5" t="s">
        <v>509</v>
      </c>
      <c r="E21" s="5" t="s">
        <v>510</v>
      </c>
      <c r="F21" s="6" t="n">
        <v>880</v>
      </c>
      <c r="G21" s="5" t="n">
        <v>0</v>
      </c>
    </row>
    <row r="22" customFormat="false" ht="15" hidden="false" customHeight="false" outlineLevel="0" collapsed="false">
      <c r="A22" s="5" t="s">
        <v>536</v>
      </c>
      <c r="B22" s="5" t="s">
        <v>535</v>
      </c>
      <c r="C22" s="5" t="s">
        <v>112</v>
      </c>
      <c r="D22" s="5" t="s">
        <v>512</v>
      </c>
      <c r="E22" s="5" t="s">
        <v>510</v>
      </c>
      <c r="F22" s="6" t="n">
        <v>140</v>
      </c>
      <c r="G22" s="5"/>
    </row>
    <row r="23" customFormat="false" ht="15" hidden="false" customHeight="false" outlineLevel="0" collapsed="false">
      <c r="A23" s="5" t="s">
        <v>537</v>
      </c>
      <c r="B23" s="5" t="s">
        <v>535</v>
      </c>
      <c r="C23" s="5" t="s">
        <v>112</v>
      </c>
      <c r="D23" s="5" t="s">
        <v>512</v>
      </c>
      <c r="E23" s="5" t="s">
        <v>510</v>
      </c>
      <c r="F23" s="6" t="n">
        <v>70</v>
      </c>
      <c r="G23" s="5"/>
    </row>
    <row r="24" customFormat="false" ht="15" hidden="false" customHeight="false" outlineLevel="0" collapsed="false">
      <c r="A24" s="5" t="s">
        <v>538</v>
      </c>
      <c r="B24" s="5" t="s">
        <v>535</v>
      </c>
      <c r="C24" s="5" t="s">
        <v>112</v>
      </c>
      <c r="D24" s="5" t="s">
        <v>516</v>
      </c>
      <c r="E24" s="5" t="s">
        <v>510</v>
      </c>
      <c r="F24" s="6" t="n">
        <v>20</v>
      </c>
      <c r="G24" s="5"/>
    </row>
    <row r="25" customFormat="false" ht="15" hidden="false" customHeight="false" outlineLevel="0" collapsed="false">
      <c r="A25" s="5" t="s">
        <v>539</v>
      </c>
      <c r="B25" s="5" t="s">
        <v>535</v>
      </c>
      <c r="C25" s="5" t="s">
        <v>112</v>
      </c>
      <c r="D25" s="5" t="s">
        <v>516</v>
      </c>
      <c r="E25" s="5" t="s">
        <v>510</v>
      </c>
      <c r="F25" s="6" t="n">
        <v>10</v>
      </c>
      <c r="G25" s="5"/>
    </row>
    <row r="26" customFormat="false" ht="15" hidden="false" customHeight="false" outlineLevel="0" collapsed="false">
      <c r="A26" s="5" t="s">
        <v>540</v>
      </c>
      <c r="B26" s="5" t="s">
        <v>535</v>
      </c>
      <c r="C26" s="5" t="s">
        <v>112</v>
      </c>
      <c r="D26" s="5" t="s">
        <v>516</v>
      </c>
      <c r="E26" s="5" t="s">
        <v>510</v>
      </c>
      <c r="F26" s="6" t="n">
        <v>10</v>
      </c>
      <c r="G26" s="5"/>
    </row>
    <row r="27" customFormat="false" ht="15" hidden="false" customHeight="false" outlineLevel="0" collapsed="false">
      <c r="A27" s="5" t="s">
        <v>541</v>
      </c>
      <c r="B27" s="5" t="s">
        <v>535</v>
      </c>
      <c r="C27" s="5" t="s">
        <v>112</v>
      </c>
      <c r="D27" s="5" t="s">
        <v>516</v>
      </c>
      <c r="E27" s="5" t="s">
        <v>529</v>
      </c>
      <c r="F27" s="6"/>
      <c r="G27" s="5"/>
    </row>
    <row r="28" customFormat="false" ht="15" hidden="false" customHeight="false" outlineLevel="0" collapsed="false">
      <c r="A28" s="5" t="s">
        <v>542</v>
      </c>
      <c r="B28" s="5" t="s">
        <v>535</v>
      </c>
      <c r="C28" s="5" t="s">
        <v>112</v>
      </c>
      <c r="D28" s="5" t="s">
        <v>520</v>
      </c>
      <c r="E28" s="5" t="s">
        <v>521</v>
      </c>
      <c r="F28" s="6" t="n">
        <v>170</v>
      </c>
      <c r="G28" s="5" t="n">
        <v>0</v>
      </c>
    </row>
    <row r="29" customFormat="false" ht="15" hidden="false" customHeight="false" outlineLevel="0" collapsed="false">
      <c r="A29" s="5" t="s">
        <v>543</v>
      </c>
      <c r="B29" s="5" t="s">
        <v>535</v>
      </c>
      <c r="C29" s="5" t="s">
        <v>112</v>
      </c>
      <c r="D29" s="5" t="s">
        <v>527</v>
      </c>
      <c r="E29" s="5" t="s">
        <v>510</v>
      </c>
      <c r="F29" s="6" t="n">
        <v>10</v>
      </c>
      <c r="G29" s="5" t="n">
        <v>0</v>
      </c>
    </row>
    <row r="30" customFormat="false" ht="15" hidden="false" customHeight="false" outlineLevel="0" collapsed="false">
      <c r="A30" s="5" t="s">
        <v>544</v>
      </c>
      <c r="B30" s="5" t="s">
        <v>535</v>
      </c>
      <c r="C30" s="5" t="s">
        <v>112</v>
      </c>
      <c r="D30" s="5" t="s">
        <v>527</v>
      </c>
      <c r="E30" s="5" t="s">
        <v>510</v>
      </c>
      <c r="F30" s="6" t="n">
        <v>10</v>
      </c>
      <c r="G30" s="5" t="n">
        <v>0</v>
      </c>
    </row>
    <row r="31" customFormat="false" ht="15" hidden="false" customHeight="false" outlineLevel="0" collapsed="false">
      <c r="A31" s="5" t="s">
        <v>545</v>
      </c>
      <c r="B31" s="5" t="s">
        <v>535</v>
      </c>
      <c r="C31" s="5" t="s">
        <v>112</v>
      </c>
      <c r="D31" s="5" t="s">
        <v>527</v>
      </c>
      <c r="E31" s="5" t="s">
        <v>510</v>
      </c>
      <c r="F31" s="6" t="n">
        <v>10</v>
      </c>
      <c r="G31" s="5" t="n">
        <v>0</v>
      </c>
    </row>
    <row r="32" customFormat="false" ht="15" hidden="false" customHeight="false" outlineLevel="0" collapsed="false">
      <c r="A32" s="5" t="s">
        <v>546</v>
      </c>
      <c r="B32" s="5" t="s">
        <v>535</v>
      </c>
      <c r="C32" s="5" t="s">
        <v>112</v>
      </c>
      <c r="D32" s="5" t="s">
        <v>527</v>
      </c>
      <c r="E32" s="5" t="s">
        <v>510</v>
      </c>
      <c r="F32" s="6" t="n">
        <v>10</v>
      </c>
      <c r="G32" s="5"/>
    </row>
    <row r="33" customFormat="false" ht="15" hidden="false" customHeight="false" outlineLevel="0" collapsed="false">
      <c r="A33" s="5" t="s">
        <v>547</v>
      </c>
      <c r="B33" s="5" t="s">
        <v>535</v>
      </c>
      <c r="C33" s="5" t="s">
        <v>112</v>
      </c>
      <c r="D33" s="5" t="s">
        <v>527</v>
      </c>
      <c r="E33" s="5" t="s">
        <v>510</v>
      </c>
      <c r="F33" s="6" t="n">
        <v>10</v>
      </c>
      <c r="G33" s="5" t="n">
        <v>52</v>
      </c>
    </row>
    <row r="34" customFormat="false" ht="15" hidden="false" customHeight="false" outlineLevel="0" collapsed="false">
      <c r="A34" s="5" t="s">
        <v>548</v>
      </c>
      <c r="B34" s="5" t="s">
        <v>535</v>
      </c>
      <c r="C34" s="5" t="s">
        <v>112</v>
      </c>
      <c r="D34" s="5" t="s">
        <v>527</v>
      </c>
      <c r="E34" s="5" t="s">
        <v>510</v>
      </c>
      <c r="F34" s="6" t="n">
        <v>10</v>
      </c>
      <c r="G34" s="5"/>
    </row>
    <row r="35" customFormat="false" ht="15" hidden="false" customHeight="false" outlineLevel="0" collapsed="false">
      <c r="A35" s="5" t="s">
        <v>549</v>
      </c>
      <c r="B35" s="5" t="s">
        <v>535</v>
      </c>
      <c r="C35" s="5" t="s">
        <v>112</v>
      </c>
      <c r="D35" s="5" t="s">
        <v>527</v>
      </c>
      <c r="E35" s="5" t="s">
        <v>510</v>
      </c>
      <c r="F35" s="6" t="n">
        <v>10</v>
      </c>
      <c r="G35" s="5" t="n">
        <v>0</v>
      </c>
    </row>
    <row r="36" customFormat="false" ht="15" hidden="false" customHeight="false" outlineLevel="0" collapsed="false">
      <c r="A36" s="5" t="s">
        <v>130</v>
      </c>
      <c r="B36" s="5" t="s">
        <v>550</v>
      </c>
      <c r="C36" s="5" t="s">
        <v>125</v>
      </c>
      <c r="D36" s="5" t="s">
        <v>509</v>
      </c>
      <c r="E36" s="5" t="s">
        <v>529</v>
      </c>
      <c r="F36" s="6" t="n">
        <v>1300</v>
      </c>
      <c r="G36" s="5" t="n">
        <v>0</v>
      </c>
    </row>
    <row r="37" customFormat="false" ht="15" hidden="false" customHeight="false" outlineLevel="0" collapsed="false">
      <c r="A37" s="5" t="s">
        <v>551</v>
      </c>
      <c r="B37" s="5" t="s">
        <v>550</v>
      </c>
      <c r="C37" s="5" t="s">
        <v>125</v>
      </c>
      <c r="D37" s="5" t="s">
        <v>512</v>
      </c>
      <c r="E37" s="5" t="s">
        <v>529</v>
      </c>
      <c r="F37" s="6" t="n">
        <v>390</v>
      </c>
      <c r="G37" s="5" t="n">
        <v>1</v>
      </c>
    </row>
    <row r="38" customFormat="false" ht="15" hidden="false" customHeight="false" outlineLevel="0" collapsed="false">
      <c r="A38" s="5" t="s">
        <v>552</v>
      </c>
      <c r="B38" s="5" t="s">
        <v>550</v>
      </c>
      <c r="C38" s="5" t="s">
        <v>125</v>
      </c>
      <c r="D38" s="5" t="s">
        <v>512</v>
      </c>
      <c r="E38" s="5" t="s">
        <v>529</v>
      </c>
      <c r="F38" s="6" t="n">
        <v>210</v>
      </c>
      <c r="G38" s="5" t="n">
        <v>0</v>
      </c>
    </row>
    <row r="39" customFormat="false" ht="15" hidden="false" customHeight="false" outlineLevel="0" collapsed="false">
      <c r="A39" s="5" t="s">
        <v>553</v>
      </c>
      <c r="B39" s="5" t="s">
        <v>550</v>
      </c>
      <c r="C39" s="5" t="s">
        <v>125</v>
      </c>
      <c r="D39" s="5" t="s">
        <v>512</v>
      </c>
      <c r="E39" s="5" t="s">
        <v>529</v>
      </c>
      <c r="F39" s="6" t="n">
        <v>210</v>
      </c>
      <c r="G39" s="5" t="n">
        <v>0</v>
      </c>
    </row>
    <row r="40" customFormat="false" ht="15" hidden="false" customHeight="false" outlineLevel="0" collapsed="false">
      <c r="A40" s="5" t="s">
        <v>144</v>
      </c>
      <c r="B40" s="5" t="s">
        <v>550</v>
      </c>
      <c r="C40" s="5" t="s">
        <v>139</v>
      </c>
      <c r="D40" s="5" t="s">
        <v>509</v>
      </c>
      <c r="E40" s="5" t="s">
        <v>529</v>
      </c>
      <c r="F40" s="6" t="n">
        <v>320</v>
      </c>
      <c r="G40" s="5" t="n">
        <v>0</v>
      </c>
    </row>
    <row r="41" customFormat="false" ht="15" hidden="false" customHeight="false" outlineLevel="0" collapsed="false">
      <c r="A41" s="5" t="s">
        <v>160</v>
      </c>
      <c r="B41" s="5" t="s">
        <v>550</v>
      </c>
      <c r="C41" s="5" t="s">
        <v>152</v>
      </c>
      <c r="D41" s="5" t="s">
        <v>509</v>
      </c>
      <c r="E41" s="5" t="s">
        <v>529</v>
      </c>
      <c r="F41" s="6" t="n">
        <v>210</v>
      </c>
      <c r="G41" s="5" t="n">
        <v>0</v>
      </c>
    </row>
    <row r="42" customFormat="false" ht="15" hidden="false" customHeight="false" outlineLevel="0" collapsed="false">
      <c r="A42" s="5" t="s">
        <v>175</v>
      </c>
      <c r="B42" s="5" t="s">
        <v>170</v>
      </c>
      <c r="C42" s="5" t="s">
        <v>169</v>
      </c>
      <c r="D42" s="5" t="s">
        <v>509</v>
      </c>
      <c r="E42" s="5" t="s">
        <v>529</v>
      </c>
      <c r="F42" s="6" t="n">
        <v>1000000</v>
      </c>
      <c r="G42" s="5" t="n">
        <v>46</v>
      </c>
    </row>
    <row r="43" customFormat="false" ht="15" hidden="false" customHeight="false" outlineLevel="0" collapsed="false">
      <c r="A43" s="5" t="s">
        <v>554</v>
      </c>
      <c r="B43" s="5" t="s">
        <v>170</v>
      </c>
      <c r="C43" s="5" t="s">
        <v>169</v>
      </c>
      <c r="D43" s="5" t="s">
        <v>512</v>
      </c>
      <c r="E43" s="5" t="s">
        <v>529</v>
      </c>
      <c r="F43" s="6" t="n">
        <v>368000</v>
      </c>
      <c r="G43" s="5" t="n">
        <v>71</v>
      </c>
    </row>
    <row r="44" customFormat="false" ht="15" hidden="false" customHeight="false" outlineLevel="0" collapsed="false">
      <c r="A44" s="5" t="s">
        <v>555</v>
      </c>
      <c r="B44" s="5" t="s">
        <v>170</v>
      </c>
      <c r="C44" s="5" t="s">
        <v>169</v>
      </c>
      <c r="D44" s="5" t="s">
        <v>512</v>
      </c>
      <c r="E44" s="5" t="s">
        <v>529</v>
      </c>
      <c r="F44" s="6" t="n">
        <v>368000</v>
      </c>
      <c r="G44" s="5" t="n">
        <v>74</v>
      </c>
    </row>
    <row r="45" customFormat="false" ht="15" hidden="false" customHeight="false" outlineLevel="0" collapsed="false">
      <c r="A45" s="5" t="s">
        <v>556</v>
      </c>
      <c r="B45" s="5" t="s">
        <v>170</v>
      </c>
      <c r="C45" s="5" t="s">
        <v>169</v>
      </c>
      <c r="D45" s="5" t="s">
        <v>512</v>
      </c>
      <c r="E45" s="5" t="s">
        <v>529</v>
      </c>
      <c r="F45" s="6" t="n">
        <v>74000</v>
      </c>
      <c r="G45" s="5" t="n">
        <v>0</v>
      </c>
    </row>
    <row r="46" customFormat="false" ht="15" hidden="false" customHeight="false" outlineLevel="0" collapsed="false">
      <c r="A46" s="5" t="s">
        <v>557</v>
      </c>
      <c r="B46" s="5" t="s">
        <v>170</v>
      </c>
      <c r="C46" s="5" t="s">
        <v>169</v>
      </c>
      <c r="D46" s="5" t="s">
        <v>512</v>
      </c>
      <c r="E46" s="5" t="s">
        <v>529</v>
      </c>
      <c r="F46" s="6" t="n">
        <v>40500</v>
      </c>
      <c r="G46" s="5" t="n">
        <v>49</v>
      </c>
    </row>
    <row r="47" customFormat="false" ht="15" hidden="false" customHeight="false" outlineLevel="0" collapsed="false">
      <c r="A47" s="5" t="s">
        <v>558</v>
      </c>
      <c r="B47" s="5" t="s">
        <v>170</v>
      </c>
      <c r="C47" s="5" t="s">
        <v>169</v>
      </c>
      <c r="D47" s="5" t="s">
        <v>516</v>
      </c>
      <c r="E47" s="5" t="s">
        <v>529</v>
      </c>
      <c r="F47" s="6" t="n">
        <v>550000</v>
      </c>
      <c r="G47" s="5" t="n">
        <v>71</v>
      </c>
    </row>
    <row r="48" customFormat="false" ht="15" hidden="false" customHeight="false" outlineLevel="0" collapsed="false">
      <c r="A48" s="5" t="s">
        <v>559</v>
      </c>
      <c r="B48" s="5" t="s">
        <v>170</v>
      </c>
      <c r="C48" s="5" t="s">
        <v>169</v>
      </c>
      <c r="D48" s="5" t="s">
        <v>516</v>
      </c>
      <c r="E48" s="5" t="s">
        <v>529</v>
      </c>
      <c r="F48" s="6" t="n">
        <v>550000</v>
      </c>
      <c r="G48" s="5" t="n">
        <v>74</v>
      </c>
    </row>
    <row r="49" customFormat="false" ht="15" hidden="false" customHeight="false" outlineLevel="0" collapsed="false">
      <c r="A49" s="5" t="s">
        <v>560</v>
      </c>
      <c r="B49" s="5" t="s">
        <v>170</v>
      </c>
      <c r="C49" s="5" t="s">
        <v>169</v>
      </c>
      <c r="D49" s="5" t="s">
        <v>516</v>
      </c>
      <c r="E49" s="5" t="s">
        <v>529</v>
      </c>
      <c r="F49" s="6" t="n">
        <v>60500</v>
      </c>
      <c r="G49" s="5" t="n">
        <v>63</v>
      </c>
    </row>
    <row r="50" customFormat="false" ht="15" hidden="false" customHeight="false" outlineLevel="0" collapsed="false">
      <c r="A50" s="5" t="s">
        <v>561</v>
      </c>
      <c r="B50" s="5" t="s">
        <v>170</v>
      </c>
      <c r="C50" s="5" t="s">
        <v>169</v>
      </c>
      <c r="D50" s="5" t="s">
        <v>516</v>
      </c>
      <c r="E50" s="5" t="s">
        <v>529</v>
      </c>
      <c r="F50" s="6" t="n">
        <v>49500</v>
      </c>
      <c r="G50" s="5" t="n">
        <v>45</v>
      </c>
    </row>
    <row r="51" customFormat="false" ht="15" hidden="false" customHeight="false" outlineLevel="0" collapsed="false">
      <c r="A51" s="5" t="s">
        <v>562</v>
      </c>
      <c r="B51" s="5" t="s">
        <v>170</v>
      </c>
      <c r="C51" s="5" t="s">
        <v>169</v>
      </c>
      <c r="D51" s="5" t="s">
        <v>516</v>
      </c>
      <c r="E51" s="5" t="s">
        <v>529</v>
      </c>
      <c r="F51" s="6" t="n">
        <v>33100</v>
      </c>
      <c r="G51" s="5" t="n">
        <v>64</v>
      </c>
    </row>
    <row r="52" customFormat="false" ht="15" hidden="false" customHeight="false" outlineLevel="0" collapsed="false">
      <c r="A52" s="5" t="s">
        <v>191</v>
      </c>
      <c r="B52" s="5" t="s">
        <v>186</v>
      </c>
      <c r="C52" s="5" t="s">
        <v>185</v>
      </c>
      <c r="D52" s="5" t="s">
        <v>509</v>
      </c>
      <c r="E52" s="5" t="s">
        <v>563</v>
      </c>
      <c r="F52" s="6" t="n">
        <v>320</v>
      </c>
      <c r="G52" s="5" t="n">
        <v>0</v>
      </c>
    </row>
    <row r="53" customFormat="false" ht="15" hidden="false" customHeight="false" outlineLevel="0" collapsed="false">
      <c r="A53" s="5" t="s">
        <v>564</v>
      </c>
      <c r="B53" s="5" t="s">
        <v>186</v>
      </c>
      <c r="C53" s="5" t="s">
        <v>185</v>
      </c>
      <c r="D53" s="5" t="s">
        <v>512</v>
      </c>
      <c r="E53" s="5" t="s">
        <v>563</v>
      </c>
      <c r="F53" s="6" t="n">
        <v>390</v>
      </c>
      <c r="G53" s="5" t="n">
        <v>0</v>
      </c>
    </row>
    <row r="54" customFormat="false" ht="15" hidden="false" customHeight="false" outlineLevel="0" collapsed="false">
      <c r="A54" s="5" t="s">
        <v>565</v>
      </c>
      <c r="B54" s="5" t="s">
        <v>186</v>
      </c>
      <c r="C54" s="5" t="s">
        <v>185</v>
      </c>
      <c r="D54" s="5" t="s">
        <v>512</v>
      </c>
      <c r="E54" s="5" t="s">
        <v>563</v>
      </c>
      <c r="F54" s="6" t="n">
        <v>90</v>
      </c>
      <c r="G54" s="5" t="n">
        <v>18</v>
      </c>
    </row>
    <row r="55" customFormat="false" ht="15" hidden="false" customHeight="false" outlineLevel="0" collapsed="false">
      <c r="A55" s="5" t="s">
        <v>566</v>
      </c>
      <c r="B55" s="5" t="s">
        <v>186</v>
      </c>
      <c r="C55" s="5" t="s">
        <v>185</v>
      </c>
      <c r="D55" s="5" t="s">
        <v>512</v>
      </c>
      <c r="E55" s="5" t="s">
        <v>529</v>
      </c>
      <c r="F55" s="6" t="n">
        <v>70</v>
      </c>
      <c r="G55" s="5" t="n">
        <v>13</v>
      </c>
    </row>
    <row r="56" customFormat="false" ht="15" hidden="false" customHeight="false" outlineLevel="0" collapsed="false">
      <c r="A56" s="5" t="s">
        <v>567</v>
      </c>
      <c r="B56" s="5" t="s">
        <v>186</v>
      </c>
      <c r="C56" s="5" t="s">
        <v>185</v>
      </c>
      <c r="D56" s="5" t="s">
        <v>512</v>
      </c>
      <c r="E56" s="5" t="s">
        <v>563</v>
      </c>
      <c r="F56" s="6" t="n">
        <v>70</v>
      </c>
      <c r="G56" s="5" t="n">
        <v>16</v>
      </c>
    </row>
    <row r="57" customFormat="false" ht="15" hidden="false" customHeight="false" outlineLevel="0" collapsed="false">
      <c r="A57" s="5" t="s">
        <v>568</v>
      </c>
      <c r="B57" s="5" t="s">
        <v>186</v>
      </c>
      <c r="C57" s="5" t="s">
        <v>185</v>
      </c>
      <c r="D57" s="5" t="s">
        <v>516</v>
      </c>
      <c r="E57" s="5" t="s">
        <v>563</v>
      </c>
      <c r="F57" s="6" t="n">
        <v>30</v>
      </c>
      <c r="G57" s="5" t="n">
        <v>55</v>
      </c>
    </row>
    <row r="58" customFormat="false" ht="15" hidden="false" customHeight="false" outlineLevel="0" collapsed="false">
      <c r="A58" s="5" t="s">
        <v>569</v>
      </c>
      <c r="B58" s="5" t="s">
        <v>186</v>
      </c>
      <c r="C58" s="5" t="s">
        <v>185</v>
      </c>
      <c r="D58" s="5" t="s">
        <v>516</v>
      </c>
      <c r="E58" s="5" t="s">
        <v>529</v>
      </c>
      <c r="F58" s="6" t="n">
        <v>30</v>
      </c>
      <c r="G58" s="5"/>
    </row>
    <row r="59" customFormat="false" ht="15" hidden="false" customHeight="false" outlineLevel="0" collapsed="false">
      <c r="A59" s="5" t="s">
        <v>570</v>
      </c>
      <c r="B59" s="5" t="s">
        <v>186</v>
      </c>
      <c r="C59" s="5" t="s">
        <v>185</v>
      </c>
      <c r="D59" s="5" t="s">
        <v>516</v>
      </c>
      <c r="E59" s="5" t="s">
        <v>563</v>
      </c>
      <c r="F59" s="6" t="n">
        <v>20</v>
      </c>
      <c r="G59" s="5"/>
    </row>
    <row r="60" customFormat="false" ht="15" hidden="false" customHeight="false" outlineLevel="0" collapsed="false">
      <c r="A60" s="5" t="s">
        <v>571</v>
      </c>
      <c r="B60" s="5" t="s">
        <v>186</v>
      </c>
      <c r="C60" s="5" t="s">
        <v>185</v>
      </c>
      <c r="D60" s="5" t="s">
        <v>516</v>
      </c>
      <c r="E60" s="5" t="s">
        <v>563</v>
      </c>
      <c r="F60" s="6" t="n">
        <v>20</v>
      </c>
      <c r="G60" s="5"/>
    </row>
    <row r="61" customFormat="false" ht="15" hidden="false" customHeight="false" outlineLevel="0" collapsed="false">
      <c r="A61" s="5" t="s">
        <v>572</v>
      </c>
      <c r="B61" s="5" t="s">
        <v>186</v>
      </c>
      <c r="C61" s="5" t="s">
        <v>185</v>
      </c>
      <c r="D61" s="5" t="s">
        <v>516</v>
      </c>
      <c r="E61" s="5" t="s">
        <v>529</v>
      </c>
      <c r="F61" s="6" t="n">
        <v>10</v>
      </c>
      <c r="G61" s="5"/>
    </row>
    <row r="62" customFormat="false" ht="15" hidden="false" customHeight="false" outlineLevel="0" collapsed="false">
      <c r="A62" s="5" t="s">
        <v>573</v>
      </c>
      <c r="B62" s="5" t="s">
        <v>186</v>
      </c>
      <c r="C62" s="5" t="s">
        <v>185</v>
      </c>
      <c r="D62" s="5" t="s">
        <v>520</v>
      </c>
      <c r="E62" s="5" t="s">
        <v>521</v>
      </c>
      <c r="F62" s="6" t="n">
        <v>720</v>
      </c>
      <c r="G62" s="5" t="n">
        <v>0</v>
      </c>
    </row>
    <row r="63" customFormat="false" ht="15" hidden="false" customHeight="false" outlineLevel="0" collapsed="false">
      <c r="A63" s="5" t="s">
        <v>574</v>
      </c>
      <c r="B63" s="5" t="s">
        <v>186</v>
      </c>
      <c r="C63" s="5" t="s">
        <v>185</v>
      </c>
      <c r="D63" s="5" t="s">
        <v>520</v>
      </c>
      <c r="E63" s="5" t="s">
        <v>521</v>
      </c>
      <c r="F63" s="6" t="n">
        <v>40</v>
      </c>
      <c r="G63" s="5"/>
    </row>
    <row r="64" customFormat="false" ht="15" hidden="false" customHeight="false" outlineLevel="0" collapsed="false">
      <c r="A64" s="5" t="s">
        <v>575</v>
      </c>
      <c r="B64" s="5" t="s">
        <v>186</v>
      </c>
      <c r="C64" s="5" t="s">
        <v>185</v>
      </c>
      <c r="D64" s="5" t="s">
        <v>520</v>
      </c>
      <c r="E64" s="5" t="s">
        <v>521</v>
      </c>
      <c r="F64" s="6" t="n">
        <v>40</v>
      </c>
      <c r="G64" s="5"/>
    </row>
    <row r="65" customFormat="false" ht="15" hidden="false" customHeight="false" outlineLevel="0" collapsed="false">
      <c r="A65" s="5" t="s">
        <v>205</v>
      </c>
      <c r="B65" s="5" t="s">
        <v>576</v>
      </c>
      <c r="C65" s="5" t="s">
        <v>200</v>
      </c>
      <c r="D65" s="5" t="s">
        <v>509</v>
      </c>
      <c r="E65" s="5" t="s">
        <v>563</v>
      </c>
      <c r="F65" s="6" t="n">
        <v>10</v>
      </c>
      <c r="G65" s="5"/>
    </row>
    <row r="66" customFormat="false" ht="15" hidden="false" customHeight="false" outlineLevel="0" collapsed="false">
      <c r="A66" s="5" t="s">
        <v>218</v>
      </c>
      <c r="B66" s="5" t="s">
        <v>577</v>
      </c>
      <c r="C66" s="5" t="s">
        <v>213</v>
      </c>
      <c r="D66" s="5" t="s">
        <v>509</v>
      </c>
      <c r="E66" s="5" t="s">
        <v>510</v>
      </c>
      <c r="F66" s="6" t="n">
        <v>5400</v>
      </c>
      <c r="G66" s="5"/>
    </row>
    <row r="67" customFormat="false" ht="15" hidden="false" customHeight="false" outlineLevel="0" collapsed="false">
      <c r="A67" s="5" t="s">
        <v>578</v>
      </c>
      <c r="B67" s="5" t="s">
        <v>577</v>
      </c>
      <c r="C67" s="5" t="s">
        <v>213</v>
      </c>
      <c r="D67" s="5" t="s">
        <v>512</v>
      </c>
      <c r="E67" s="5" t="s">
        <v>510</v>
      </c>
      <c r="F67" s="6" t="n">
        <v>50</v>
      </c>
      <c r="G67" s="5"/>
    </row>
    <row r="68" customFormat="false" ht="15" hidden="false" customHeight="false" outlineLevel="0" collapsed="false">
      <c r="A68" s="5" t="s">
        <v>579</v>
      </c>
      <c r="B68" s="5" t="s">
        <v>577</v>
      </c>
      <c r="C68" s="5" t="s">
        <v>213</v>
      </c>
      <c r="D68" s="5" t="s">
        <v>512</v>
      </c>
      <c r="E68" s="5" t="s">
        <v>510</v>
      </c>
      <c r="F68" s="6" t="n">
        <v>50</v>
      </c>
      <c r="G68" s="5"/>
    </row>
    <row r="69" customFormat="false" ht="15" hidden="false" customHeight="false" outlineLevel="0" collapsed="false">
      <c r="A69" s="5" t="s">
        <v>580</v>
      </c>
      <c r="B69" s="5" t="s">
        <v>577</v>
      </c>
      <c r="C69" s="5" t="s">
        <v>213</v>
      </c>
      <c r="D69" s="5" t="s">
        <v>516</v>
      </c>
      <c r="E69" s="5" t="s">
        <v>529</v>
      </c>
      <c r="F69" s="6"/>
      <c r="G69" s="5"/>
    </row>
    <row r="70" customFormat="false" ht="15" hidden="false" customHeight="false" outlineLevel="0" collapsed="false">
      <c r="A70" s="5" t="s">
        <v>232</v>
      </c>
      <c r="B70" s="5" t="s">
        <v>581</v>
      </c>
      <c r="C70" s="5" t="s">
        <v>227</v>
      </c>
      <c r="D70" s="5" t="s">
        <v>509</v>
      </c>
      <c r="E70" s="5" t="s">
        <v>563</v>
      </c>
      <c r="F70" s="6" t="n">
        <v>880</v>
      </c>
      <c r="G70" s="5"/>
    </row>
    <row r="71" customFormat="false" ht="15" hidden="false" customHeight="false" outlineLevel="0" collapsed="false">
      <c r="A71" s="5" t="s">
        <v>582</v>
      </c>
      <c r="B71" s="5" t="s">
        <v>581</v>
      </c>
      <c r="C71" s="5" t="s">
        <v>227</v>
      </c>
      <c r="D71" s="5" t="s">
        <v>512</v>
      </c>
      <c r="E71" s="5" t="s">
        <v>563</v>
      </c>
      <c r="F71" s="6" t="n">
        <v>480</v>
      </c>
      <c r="G71" s="5"/>
    </row>
    <row r="72" customFormat="false" ht="15" hidden="false" customHeight="false" outlineLevel="0" collapsed="false">
      <c r="A72" s="5" t="s">
        <v>583</v>
      </c>
      <c r="B72" s="5" t="s">
        <v>581</v>
      </c>
      <c r="C72" s="5" t="s">
        <v>227</v>
      </c>
      <c r="D72" s="5" t="s">
        <v>512</v>
      </c>
      <c r="E72" s="5" t="s">
        <v>563</v>
      </c>
      <c r="F72" s="6" t="n">
        <v>140</v>
      </c>
      <c r="G72" s="5"/>
    </row>
    <row r="73" customFormat="false" ht="15" hidden="false" customHeight="false" outlineLevel="0" collapsed="false">
      <c r="A73" s="5" t="s">
        <v>584</v>
      </c>
      <c r="B73" s="5" t="s">
        <v>581</v>
      </c>
      <c r="C73" s="5" t="s">
        <v>227</v>
      </c>
      <c r="D73" s="5" t="s">
        <v>512</v>
      </c>
      <c r="E73" s="5" t="s">
        <v>563</v>
      </c>
      <c r="F73" s="6" t="n">
        <v>110</v>
      </c>
      <c r="G73" s="5"/>
    </row>
    <row r="74" customFormat="false" ht="15" hidden="false" customHeight="false" outlineLevel="0" collapsed="false">
      <c r="A74" s="5" t="s">
        <v>585</v>
      </c>
      <c r="B74" s="5" t="s">
        <v>581</v>
      </c>
      <c r="C74" s="5" t="s">
        <v>227</v>
      </c>
      <c r="D74" s="5" t="s">
        <v>512</v>
      </c>
      <c r="E74" s="5" t="s">
        <v>529</v>
      </c>
      <c r="F74" s="6" t="n">
        <v>50</v>
      </c>
      <c r="G74" s="5"/>
    </row>
    <row r="75" customFormat="false" ht="15" hidden="false" customHeight="false" outlineLevel="0" collapsed="false">
      <c r="A75" s="5" t="s">
        <v>586</v>
      </c>
      <c r="B75" s="5" t="s">
        <v>581</v>
      </c>
      <c r="C75" s="5" t="s">
        <v>227</v>
      </c>
      <c r="D75" s="5" t="s">
        <v>516</v>
      </c>
      <c r="E75" s="5" t="s">
        <v>563</v>
      </c>
      <c r="F75" s="6" t="n">
        <v>30</v>
      </c>
      <c r="G75" s="5"/>
    </row>
    <row r="76" customFormat="false" ht="15" hidden="false" customHeight="false" outlineLevel="0" collapsed="false">
      <c r="A76" s="5" t="s">
        <v>587</v>
      </c>
      <c r="B76" s="5" t="s">
        <v>581</v>
      </c>
      <c r="C76" s="5" t="s">
        <v>227</v>
      </c>
      <c r="D76" s="5" t="s">
        <v>516</v>
      </c>
      <c r="E76" s="5" t="s">
        <v>529</v>
      </c>
      <c r="F76" s="6" t="n">
        <v>30</v>
      </c>
      <c r="G76" s="5"/>
    </row>
    <row r="77" customFormat="false" ht="15" hidden="false" customHeight="false" outlineLevel="0" collapsed="false">
      <c r="A77" s="5" t="s">
        <v>588</v>
      </c>
      <c r="B77" s="5" t="s">
        <v>581</v>
      </c>
      <c r="C77" s="5" t="s">
        <v>227</v>
      </c>
      <c r="D77" s="5" t="s">
        <v>516</v>
      </c>
      <c r="E77" s="5" t="s">
        <v>529</v>
      </c>
      <c r="F77" s="6" t="n">
        <v>10</v>
      </c>
      <c r="G77" s="5"/>
    </row>
    <row r="78" customFormat="false" ht="15" hidden="false" customHeight="false" outlineLevel="0" collapsed="false">
      <c r="A78" s="5" t="s">
        <v>589</v>
      </c>
      <c r="B78" s="5" t="s">
        <v>581</v>
      </c>
      <c r="C78" s="5" t="s">
        <v>227</v>
      </c>
      <c r="D78" s="5" t="s">
        <v>516</v>
      </c>
      <c r="E78" s="5" t="s">
        <v>529</v>
      </c>
      <c r="F78" s="6"/>
      <c r="G78" s="5"/>
    </row>
    <row r="79" customFormat="false" ht="15" hidden="false" customHeight="false" outlineLevel="0" collapsed="false">
      <c r="A79" s="5" t="s">
        <v>590</v>
      </c>
      <c r="B79" s="5" t="s">
        <v>581</v>
      </c>
      <c r="C79" s="5" t="s">
        <v>227</v>
      </c>
      <c r="D79" s="5" t="s">
        <v>516</v>
      </c>
      <c r="E79" s="5" t="s">
        <v>563</v>
      </c>
      <c r="F79" s="6"/>
      <c r="G79" s="5"/>
    </row>
    <row r="80" customFormat="false" ht="15" hidden="false" customHeight="false" outlineLevel="0" collapsed="false">
      <c r="A80" s="5" t="s">
        <v>591</v>
      </c>
      <c r="B80" s="5" t="s">
        <v>581</v>
      </c>
      <c r="C80" s="5" t="s">
        <v>227</v>
      </c>
      <c r="D80" s="5" t="s">
        <v>516</v>
      </c>
      <c r="E80" s="5" t="s">
        <v>563</v>
      </c>
      <c r="F80" s="6"/>
      <c r="G80" s="5"/>
    </row>
    <row r="81" customFormat="false" ht="15" hidden="false" customHeight="false" outlineLevel="0" collapsed="false">
      <c r="A81" s="5" t="s">
        <v>592</v>
      </c>
      <c r="B81" s="5" t="s">
        <v>581</v>
      </c>
      <c r="C81" s="5" t="s">
        <v>227</v>
      </c>
      <c r="D81" s="5" t="s">
        <v>516</v>
      </c>
      <c r="E81" s="5" t="s">
        <v>563</v>
      </c>
      <c r="F81" s="6"/>
      <c r="G81" s="5"/>
    </row>
    <row r="82" customFormat="false" ht="15" hidden="false" customHeight="false" outlineLevel="0" collapsed="false">
      <c r="A82" s="5" t="s">
        <v>593</v>
      </c>
      <c r="B82" s="5" t="s">
        <v>581</v>
      </c>
      <c r="C82" s="5" t="s">
        <v>227</v>
      </c>
      <c r="D82" s="5" t="s">
        <v>516</v>
      </c>
      <c r="E82" s="5" t="s">
        <v>563</v>
      </c>
      <c r="F82" s="6"/>
      <c r="G82" s="5"/>
    </row>
    <row r="83" customFormat="false" ht="15" hidden="false" customHeight="false" outlineLevel="0" collapsed="false">
      <c r="A83" s="5" t="s">
        <v>594</v>
      </c>
      <c r="B83" s="5" t="s">
        <v>581</v>
      </c>
      <c r="C83" s="5" t="s">
        <v>227</v>
      </c>
      <c r="D83" s="5" t="s">
        <v>516</v>
      </c>
      <c r="E83" s="5" t="s">
        <v>563</v>
      </c>
      <c r="F83" s="6"/>
      <c r="G83" s="5"/>
    </row>
    <row r="84" customFormat="false" ht="15" hidden="false" customHeight="false" outlineLevel="0" collapsed="false">
      <c r="A84" s="5" t="s">
        <v>595</v>
      </c>
      <c r="B84" s="5" t="s">
        <v>581</v>
      </c>
      <c r="C84" s="5" t="s">
        <v>227</v>
      </c>
      <c r="D84" s="5" t="s">
        <v>516</v>
      </c>
      <c r="E84" s="5" t="s">
        <v>563</v>
      </c>
      <c r="F84" s="6"/>
      <c r="G84" s="5"/>
    </row>
    <row r="85" customFormat="false" ht="15" hidden="false" customHeight="false" outlineLevel="0" collapsed="false">
      <c r="A85" s="5" t="s">
        <v>596</v>
      </c>
      <c r="B85" s="5" t="s">
        <v>581</v>
      </c>
      <c r="C85" s="5" t="s">
        <v>227</v>
      </c>
      <c r="D85" s="5" t="s">
        <v>516</v>
      </c>
      <c r="E85" s="5" t="s">
        <v>529</v>
      </c>
      <c r="F85" s="6"/>
      <c r="G85" s="5"/>
    </row>
    <row r="86" customFormat="false" ht="15" hidden="false" customHeight="false" outlineLevel="0" collapsed="false">
      <c r="A86" s="5" t="s">
        <v>597</v>
      </c>
      <c r="B86" s="5" t="s">
        <v>581</v>
      </c>
      <c r="C86" s="5" t="s">
        <v>227</v>
      </c>
      <c r="D86" s="5" t="s">
        <v>516</v>
      </c>
      <c r="E86" s="5" t="s">
        <v>529</v>
      </c>
      <c r="F86" s="6"/>
      <c r="G86" s="5"/>
    </row>
    <row r="87" customFormat="false" ht="15" hidden="false" customHeight="false" outlineLevel="0" collapsed="false">
      <c r="A87" s="5" t="s">
        <v>598</v>
      </c>
      <c r="B87" s="5" t="s">
        <v>581</v>
      </c>
      <c r="C87" s="5" t="s">
        <v>227</v>
      </c>
      <c r="D87" s="5" t="s">
        <v>516</v>
      </c>
      <c r="E87" s="5" t="s">
        <v>529</v>
      </c>
      <c r="F87" s="6"/>
      <c r="G87" s="5"/>
    </row>
    <row r="88" customFormat="false" ht="15" hidden="false" customHeight="false" outlineLevel="0" collapsed="false">
      <c r="A88" s="5" t="s">
        <v>599</v>
      </c>
      <c r="B88" s="5" t="s">
        <v>581</v>
      </c>
      <c r="C88" s="5" t="s">
        <v>227</v>
      </c>
      <c r="D88" s="5" t="s">
        <v>516</v>
      </c>
      <c r="E88" s="5" t="s">
        <v>529</v>
      </c>
      <c r="F88" s="6"/>
      <c r="G88" s="5"/>
    </row>
    <row r="89" customFormat="false" ht="15" hidden="false" customHeight="false" outlineLevel="0" collapsed="false">
      <c r="A89" s="5" t="s">
        <v>600</v>
      </c>
      <c r="B89" s="5" t="s">
        <v>581</v>
      </c>
      <c r="C89" s="5" t="s">
        <v>227</v>
      </c>
      <c r="D89" s="5" t="s">
        <v>516</v>
      </c>
      <c r="E89" s="5" t="s">
        <v>529</v>
      </c>
      <c r="F89" s="6"/>
      <c r="G89" s="5"/>
    </row>
    <row r="90" customFormat="false" ht="15" hidden="false" customHeight="false" outlineLevel="0" collapsed="false">
      <c r="A90" s="5" t="s">
        <v>601</v>
      </c>
      <c r="B90" s="5" t="s">
        <v>581</v>
      </c>
      <c r="C90" s="5" t="s">
        <v>227</v>
      </c>
      <c r="D90" s="5" t="s">
        <v>516</v>
      </c>
      <c r="E90" s="5" t="s">
        <v>529</v>
      </c>
      <c r="F90" s="6"/>
      <c r="G90" s="5"/>
    </row>
    <row r="91" customFormat="false" ht="15" hidden="false" customHeight="false" outlineLevel="0" collapsed="false">
      <c r="A91" s="5" t="s">
        <v>602</v>
      </c>
      <c r="B91" s="5" t="s">
        <v>581</v>
      </c>
      <c r="C91" s="5" t="s">
        <v>227</v>
      </c>
      <c r="D91" s="5" t="s">
        <v>520</v>
      </c>
      <c r="E91" s="5" t="s">
        <v>521</v>
      </c>
      <c r="F91" s="6" t="n">
        <v>260</v>
      </c>
      <c r="G91" s="5"/>
    </row>
    <row r="92" customFormat="false" ht="15" hidden="false" customHeight="false" outlineLevel="0" collapsed="false">
      <c r="A92" s="5" t="s">
        <v>603</v>
      </c>
      <c r="B92" s="5" t="s">
        <v>581</v>
      </c>
      <c r="C92" s="5" t="s">
        <v>227</v>
      </c>
      <c r="D92" s="5" t="s">
        <v>520</v>
      </c>
      <c r="E92" s="5" t="s">
        <v>521</v>
      </c>
      <c r="F92" s="6" t="n">
        <v>70</v>
      </c>
      <c r="G92" s="5"/>
    </row>
    <row r="93" customFormat="false" ht="15" hidden="false" customHeight="false" outlineLevel="0" collapsed="false">
      <c r="A93" s="5" t="s">
        <v>604</v>
      </c>
      <c r="B93" s="5" t="s">
        <v>581</v>
      </c>
      <c r="C93" s="5" t="s">
        <v>227</v>
      </c>
      <c r="D93" s="5" t="s">
        <v>520</v>
      </c>
      <c r="E93" s="5" t="s">
        <v>521</v>
      </c>
      <c r="F93" s="6" t="n">
        <v>20</v>
      </c>
      <c r="G93" s="5"/>
    </row>
    <row r="94" customFormat="false" ht="15" hidden="false" customHeight="false" outlineLevel="0" collapsed="false">
      <c r="A94" s="5" t="s">
        <v>605</v>
      </c>
      <c r="B94" s="5" t="s">
        <v>581</v>
      </c>
      <c r="C94" s="5" t="s">
        <v>227</v>
      </c>
      <c r="D94" s="5" t="s">
        <v>520</v>
      </c>
      <c r="E94" s="5" t="s">
        <v>521</v>
      </c>
      <c r="F94" s="6" t="n">
        <v>20</v>
      </c>
      <c r="G94" s="5"/>
    </row>
    <row r="95" customFormat="false" ht="15" hidden="false" customHeight="false" outlineLevel="0" collapsed="false">
      <c r="A95" s="5" t="s">
        <v>606</v>
      </c>
      <c r="B95" s="5" t="s">
        <v>581</v>
      </c>
      <c r="C95" s="5" t="s">
        <v>227</v>
      </c>
      <c r="D95" s="5" t="s">
        <v>520</v>
      </c>
      <c r="E95" s="5" t="s">
        <v>521</v>
      </c>
      <c r="F95" s="6" t="n">
        <v>10</v>
      </c>
      <c r="G95" s="5"/>
    </row>
    <row r="96" customFormat="false" ht="15" hidden="false" customHeight="false" outlineLevel="0" collapsed="false">
      <c r="A96" s="5" t="s">
        <v>607</v>
      </c>
      <c r="B96" s="5" t="s">
        <v>581</v>
      </c>
      <c r="C96" s="5" t="s">
        <v>227</v>
      </c>
      <c r="D96" s="5" t="s">
        <v>520</v>
      </c>
      <c r="E96" s="5" t="s">
        <v>521</v>
      </c>
      <c r="F96" s="6" t="n">
        <v>10</v>
      </c>
      <c r="G96" s="5"/>
    </row>
    <row r="97" customFormat="false" ht="15" hidden="false" customHeight="false" outlineLevel="0" collapsed="false">
      <c r="A97" s="5" t="s">
        <v>608</v>
      </c>
      <c r="B97" s="5" t="s">
        <v>581</v>
      </c>
      <c r="C97" s="5" t="s">
        <v>227</v>
      </c>
      <c r="D97" s="5" t="s">
        <v>520</v>
      </c>
      <c r="E97" s="5" t="s">
        <v>521</v>
      </c>
      <c r="F97" s="6"/>
      <c r="G97" s="5"/>
    </row>
    <row r="98" customFormat="false" ht="15" hidden="false" customHeight="false" outlineLevel="0" collapsed="false">
      <c r="A98" s="5" t="s">
        <v>609</v>
      </c>
      <c r="B98" s="5" t="s">
        <v>581</v>
      </c>
      <c r="C98" s="5" t="s">
        <v>227</v>
      </c>
      <c r="D98" s="5" t="s">
        <v>520</v>
      </c>
      <c r="E98" s="5" t="s">
        <v>521</v>
      </c>
      <c r="F98" s="6"/>
      <c r="G98" s="5"/>
    </row>
    <row r="99" customFormat="false" ht="15" hidden="false" customHeight="false" outlineLevel="0" collapsed="false">
      <c r="A99" s="5" t="s">
        <v>610</v>
      </c>
      <c r="B99" s="5" t="s">
        <v>581</v>
      </c>
      <c r="C99" s="5" t="s">
        <v>227</v>
      </c>
      <c r="D99" s="5" t="s">
        <v>520</v>
      </c>
      <c r="E99" s="5" t="s">
        <v>521</v>
      </c>
      <c r="F99" s="6"/>
      <c r="G99" s="5"/>
    </row>
    <row r="100" customFormat="false" ht="15" hidden="false" customHeight="false" outlineLevel="0" collapsed="false">
      <c r="A100" s="5" t="s">
        <v>611</v>
      </c>
      <c r="B100" s="5" t="s">
        <v>581</v>
      </c>
      <c r="C100" s="5" t="s">
        <v>227</v>
      </c>
      <c r="D100" s="5" t="s">
        <v>520</v>
      </c>
      <c r="E100" s="5" t="s">
        <v>521</v>
      </c>
      <c r="F100" s="6"/>
      <c r="G100" s="5"/>
    </row>
    <row r="101" customFormat="false" ht="15" hidden="false" customHeight="false" outlineLevel="0" collapsed="false">
      <c r="A101" s="5" t="s">
        <v>612</v>
      </c>
      <c r="B101" s="5" t="s">
        <v>581</v>
      </c>
      <c r="C101" s="5" t="s">
        <v>227</v>
      </c>
      <c r="D101" s="5" t="s">
        <v>520</v>
      </c>
      <c r="E101" s="5" t="s">
        <v>521</v>
      </c>
      <c r="F101" s="6"/>
      <c r="G101" s="5"/>
    </row>
    <row r="102" customFormat="false" ht="15" hidden="false" customHeight="false" outlineLevel="0" collapsed="false">
      <c r="A102" s="5" t="s">
        <v>613</v>
      </c>
      <c r="B102" s="5" t="s">
        <v>581</v>
      </c>
      <c r="C102" s="5" t="s">
        <v>227</v>
      </c>
      <c r="D102" s="5" t="s">
        <v>520</v>
      </c>
      <c r="E102" s="5" t="s">
        <v>521</v>
      </c>
      <c r="F102" s="6"/>
      <c r="G102" s="5"/>
    </row>
    <row r="103" customFormat="false" ht="15" hidden="false" customHeight="false" outlineLevel="0" collapsed="false">
      <c r="A103" s="5" t="s">
        <v>614</v>
      </c>
      <c r="B103" s="5" t="s">
        <v>581</v>
      </c>
      <c r="C103" s="5" t="s">
        <v>227</v>
      </c>
      <c r="D103" s="5" t="s">
        <v>520</v>
      </c>
      <c r="E103" s="5" t="s">
        <v>521</v>
      </c>
      <c r="F103" s="6"/>
      <c r="G103" s="5"/>
    </row>
    <row r="104" customFormat="false" ht="15" hidden="false" customHeight="false" outlineLevel="0" collapsed="false">
      <c r="A104" s="5" t="s">
        <v>615</v>
      </c>
      <c r="B104" s="5" t="s">
        <v>581</v>
      </c>
      <c r="C104" s="5" t="s">
        <v>227</v>
      </c>
      <c r="D104" s="5" t="s">
        <v>520</v>
      </c>
      <c r="E104" s="5" t="s">
        <v>521</v>
      </c>
      <c r="F104" s="6"/>
      <c r="G104" s="5"/>
    </row>
    <row r="105" customFormat="false" ht="15" hidden="false" customHeight="false" outlineLevel="0" collapsed="false">
      <c r="A105" s="5" t="s">
        <v>616</v>
      </c>
      <c r="B105" s="5" t="s">
        <v>581</v>
      </c>
      <c r="C105" s="5" t="s">
        <v>227</v>
      </c>
      <c r="D105" s="5" t="s">
        <v>520</v>
      </c>
      <c r="E105" s="5" t="s">
        <v>521</v>
      </c>
      <c r="F105" s="6"/>
      <c r="G105" s="5"/>
    </row>
    <row r="106" customFormat="false" ht="15" hidden="false" customHeight="false" outlineLevel="0" collapsed="false">
      <c r="A106" s="5" t="s">
        <v>617</v>
      </c>
      <c r="B106" s="5" t="s">
        <v>618</v>
      </c>
      <c r="C106" s="5" t="s">
        <v>241</v>
      </c>
      <c r="D106" s="5" t="s">
        <v>512</v>
      </c>
      <c r="E106" s="5" t="s">
        <v>529</v>
      </c>
      <c r="F106" s="6"/>
      <c r="G106" s="5"/>
    </row>
    <row r="107" customFormat="false" ht="15" hidden="false" customHeight="false" outlineLevel="0" collapsed="false">
      <c r="A107" s="5" t="s">
        <v>619</v>
      </c>
      <c r="B107" s="5" t="s">
        <v>618</v>
      </c>
      <c r="C107" s="5" t="s">
        <v>241</v>
      </c>
      <c r="D107" s="5" t="s">
        <v>512</v>
      </c>
      <c r="E107" s="5" t="s">
        <v>529</v>
      </c>
      <c r="F107" s="6"/>
      <c r="G107" s="5"/>
    </row>
  </sheetData>
  <autoFilter ref="A1:G10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2026-10-20T21:18:19Z</dcterms:created>
  <dc:creator>openpyxl</dc:creator>
  <dc:description/>
  <dc:language>en-US</dc:language>
  <cp:lastModifiedBy/>
  <dcterms:modified xsi:type="dcterms:W3CDTF">2026-10-20T21:18:19Z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